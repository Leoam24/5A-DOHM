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ferrane/Documents/ENSEIGNEMENT/SRI-5A/EXAMENS/"/>
    </mc:Choice>
  </mc:AlternateContent>
  <xr:revisionPtr revIDLastSave="0" documentId="13_ncr:1_{A693DC27-FA87-AC4D-8B52-F7E84C6E0652}" xr6:coauthVersionLast="47" xr6:coauthVersionMax="47" xr10:uidLastSave="{00000000-0000-0000-0000-000000000000}"/>
  <bookViews>
    <workbookView xWindow="0" yWindow="780" windowWidth="34200" windowHeight="19720" firstSheet="1" activeTab="1" xr2:uid="{684D10F5-1B61-0042-9CED-E5E2633A4826}"/>
  </bookViews>
  <sheets>
    <sheet name="COMPÉTENCES CC DOHM" sheetId="1" r:id="rId1"/>
    <sheet name="EVALUATION COMPETENCES TP" sheetId="6" r:id="rId2"/>
    <sheet name="COMPÉTENCES CC AC " sheetId="7" r:id="rId3"/>
    <sheet name="COMPÉTENCES CC DOHM " sheetId="10" r:id="rId4"/>
    <sheet name="COMPÉTENCES CC ALGO-PYTHON" sheetId="11" r:id="rId5"/>
    <sheet name="COMPÉTENCES PROJET INTÉGRATION" sheetId="8" r:id="rId6"/>
  </sheets>
  <definedNames>
    <definedName name="_xlnm.Print_Area" localSheetId="2">'COMPÉTENCES CC AC '!$A$1:$B$41</definedName>
    <definedName name="_xlnm.Print_Area" localSheetId="4">'COMPÉTENCES CC ALGO-PYTHON'!#REF!</definedName>
    <definedName name="_xlnm.Print_Area" localSheetId="0">'COMPÉTENCES CC DOHM'!$A$1:$B$56</definedName>
    <definedName name="_xlnm.Print_Area" localSheetId="3">'COMPÉTENCES CC DOHM '!$A$1:$B$66</definedName>
    <definedName name="_xlnm.Print_Area" localSheetId="1">'EVALUATION COMPETENCES TP'!$A$1:$A$44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54" i="11" l="1"/>
  <c r="A44" i="11"/>
  <c r="A37" i="11"/>
  <c r="A29" i="11"/>
  <c r="A23" i="11"/>
  <c r="A14" i="11"/>
  <c r="T66" i="10"/>
  <c r="T51" i="10"/>
  <c r="T44" i="10"/>
  <c r="H39" i="10"/>
  <c r="H41" i="10" s="1"/>
  <c r="D39" i="10"/>
  <c r="D41" i="10" s="1"/>
  <c r="B39" i="10"/>
  <c r="N37" i="10"/>
  <c r="M37" i="10"/>
  <c r="L37" i="10"/>
  <c r="K37" i="10"/>
  <c r="J37" i="10"/>
  <c r="I37" i="10"/>
  <c r="H37" i="10"/>
  <c r="G37" i="10"/>
  <c r="F37" i="10"/>
  <c r="E37" i="10"/>
  <c r="D37" i="10"/>
  <c r="C37" i="10"/>
  <c r="T36" i="10"/>
  <c r="N32" i="10"/>
  <c r="M32" i="10"/>
  <c r="L32" i="10"/>
  <c r="K32" i="10"/>
  <c r="J32" i="10"/>
  <c r="I32" i="10"/>
  <c r="H32" i="10"/>
  <c r="G32" i="10"/>
  <c r="F32" i="10"/>
  <c r="E32" i="10"/>
  <c r="D32" i="10"/>
  <c r="C32" i="10"/>
  <c r="T30" i="10"/>
  <c r="N25" i="10"/>
  <c r="M25" i="10"/>
  <c r="L25" i="10"/>
  <c r="K25" i="10"/>
  <c r="J25" i="10"/>
  <c r="I25" i="10"/>
  <c r="H25" i="10"/>
  <c r="G25" i="10"/>
  <c r="F25" i="10"/>
  <c r="E25" i="10"/>
  <c r="D25" i="10"/>
  <c r="C25" i="10"/>
  <c r="T21" i="10"/>
  <c r="N21" i="10"/>
  <c r="M21" i="10"/>
  <c r="L21" i="10"/>
  <c r="K21" i="10"/>
  <c r="J21" i="10"/>
  <c r="I21" i="10"/>
  <c r="H21" i="10"/>
  <c r="G21" i="10"/>
  <c r="F21" i="10"/>
  <c r="E21" i="10"/>
  <c r="D21" i="10"/>
  <c r="C21" i="10"/>
  <c r="O16" i="10"/>
  <c r="N16" i="10"/>
  <c r="N39" i="10" s="1"/>
  <c r="N41" i="10" s="1"/>
  <c r="M16" i="10"/>
  <c r="M39" i="10" s="1"/>
  <c r="M41" i="10" s="1"/>
  <c r="L16" i="10"/>
  <c r="L39" i="10" s="1"/>
  <c r="L41" i="10" s="1"/>
  <c r="K16" i="10"/>
  <c r="K39" i="10" s="1"/>
  <c r="K41" i="10" s="1"/>
  <c r="J16" i="10"/>
  <c r="J39" i="10" s="1"/>
  <c r="J41" i="10" s="1"/>
  <c r="I16" i="10"/>
  <c r="I39" i="10" s="1"/>
  <c r="I41" i="10" s="1"/>
  <c r="H16" i="10"/>
  <c r="G16" i="10"/>
  <c r="G39" i="10" s="1"/>
  <c r="G41" i="10" s="1"/>
  <c r="F16" i="10"/>
  <c r="F39" i="10" s="1"/>
  <c r="F41" i="10" s="1"/>
  <c r="E16" i="10"/>
  <c r="E39" i="10" s="1"/>
  <c r="E41" i="10" s="1"/>
  <c r="D16" i="10"/>
  <c r="C16" i="10"/>
  <c r="C39" i="10" s="1"/>
  <c r="C41" i="10" s="1"/>
  <c r="N7" i="10"/>
  <c r="M7" i="10"/>
  <c r="L7" i="10"/>
  <c r="K7" i="10"/>
  <c r="J7" i="10"/>
  <c r="I7" i="10"/>
  <c r="H7" i="10"/>
  <c r="G7" i="10"/>
  <c r="F7" i="10"/>
  <c r="E7" i="10"/>
  <c r="D7" i="10"/>
  <c r="C7" i="10"/>
  <c r="D37" i="7" l="1"/>
  <c r="E37" i="7"/>
  <c r="F37" i="7"/>
  <c r="G37" i="7"/>
  <c r="H37" i="7"/>
  <c r="I37" i="7"/>
  <c r="J37" i="7"/>
  <c r="K37" i="7"/>
  <c r="L37" i="7"/>
  <c r="M37" i="7"/>
  <c r="N37" i="7"/>
  <c r="C37" i="7"/>
  <c r="N32" i="7"/>
  <c r="D32" i="7"/>
  <c r="E32" i="7"/>
  <c r="F32" i="7"/>
  <c r="G32" i="7"/>
  <c r="H32" i="7"/>
  <c r="I32" i="7"/>
  <c r="J32" i="7"/>
  <c r="K32" i="7"/>
  <c r="L32" i="7"/>
  <c r="M32" i="7"/>
  <c r="C32" i="7"/>
  <c r="D25" i="7"/>
  <c r="E25" i="7"/>
  <c r="F25" i="7"/>
  <c r="G25" i="7"/>
  <c r="H25" i="7"/>
  <c r="I25" i="7"/>
  <c r="J25" i="7"/>
  <c r="K25" i="7"/>
  <c r="L25" i="7"/>
  <c r="M25" i="7"/>
  <c r="N25" i="7"/>
  <c r="C25" i="7"/>
  <c r="F21" i="7"/>
  <c r="G21" i="7"/>
  <c r="H21" i="7"/>
  <c r="I21" i="7"/>
  <c r="J21" i="7"/>
  <c r="K21" i="7"/>
  <c r="L21" i="7"/>
  <c r="M21" i="7"/>
  <c r="N21" i="7"/>
  <c r="C21" i="7"/>
  <c r="D21" i="7"/>
  <c r="E21" i="7"/>
  <c r="C16" i="7"/>
  <c r="D16" i="7"/>
  <c r="F16" i="7"/>
  <c r="G16" i="7"/>
  <c r="H16" i="7"/>
  <c r="I16" i="7"/>
  <c r="J16" i="7"/>
  <c r="K16" i="7"/>
  <c r="L16" i="7"/>
  <c r="M16" i="7"/>
  <c r="N16" i="7"/>
  <c r="O16" i="7"/>
  <c r="E16" i="7"/>
  <c r="D39" i="7" l="1"/>
  <c r="M39" i="7"/>
  <c r="L39" i="7"/>
  <c r="H39" i="7"/>
  <c r="G39" i="7"/>
  <c r="F39" i="7"/>
  <c r="K39" i="7"/>
  <c r="K41" i="7" s="1"/>
  <c r="J39" i="7"/>
  <c r="J41" i="7" s="1"/>
  <c r="N39" i="7"/>
  <c r="E39" i="7"/>
  <c r="I39" i="7"/>
  <c r="C39" i="7"/>
  <c r="C41" i="7" s="1"/>
  <c r="B39" i="7"/>
  <c r="N7" i="7"/>
  <c r="M7" i="7"/>
  <c r="L7" i="7"/>
  <c r="K7" i="7"/>
  <c r="J7" i="7"/>
  <c r="I7" i="7"/>
  <c r="H7" i="7"/>
  <c r="G7" i="7"/>
  <c r="F7" i="7"/>
  <c r="E7" i="7"/>
  <c r="D7" i="7"/>
  <c r="C7" i="7"/>
  <c r="F41" i="7" l="1"/>
  <c r="H41" i="7"/>
  <c r="G41" i="7"/>
  <c r="I41" i="7"/>
  <c r="L41" i="7"/>
  <c r="E41" i="7"/>
  <c r="M41" i="7"/>
  <c r="N41" i="7"/>
  <c r="D41" i="7"/>
  <c r="C53" i="1"/>
  <c r="D53" i="1"/>
  <c r="F53" i="1"/>
  <c r="G53" i="1"/>
  <c r="H53" i="1"/>
  <c r="I53" i="1"/>
  <c r="K53" i="1"/>
  <c r="L53" i="1"/>
  <c r="M53" i="1"/>
  <c r="N53" i="1"/>
  <c r="O53" i="1"/>
  <c r="P53" i="1"/>
  <c r="Q53" i="1"/>
  <c r="R53" i="1"/>
  <c r="S53" i="1"/>
  <c r="T53" i="1"/>
  <c r="U53" i="1"/>
  <c r="V53" i="1"/>
  <c r="W53" i="1"/>
  <c r="X53" i="1"/>
  <c r="Y53" i="1"/>
  <c r="C33" i="1"/>
  <c r="D33" i="1"/>
  <c r="E33" i="1"/>
  <c r="F33" i="1"/>
  <c r="G33" i="1"/>
  <c r="H33" i="1"/>
  <c r="I33" i="1"/>
  <c r="J33" i="1"/>
  <c r="K33" i="1"/>
  <c r="L33" i="1"/>
  <c r="M33" i="1"/>
  <c r="N33" i="1"/>
  <c r="N46" i="1" s="1"/>
  <c r="O33" i="1"/>
  <c r="P33" i="1"/>
  <c r="Q33" i="1"/>
  <c r="R33" i="1"/>
  <c r="S33" i="1"/>
  <c r="T33" i="1"/>
  <c r="U33" i="1"/>
  <c r="V33" i="1"/>
  <c r="W33" i="1"/>
  <c r="X33" i="1"/>
  <c r="Y33" i="1"/>
  <c r="C50" i="1"/>
  <c r="D50" i="1"/>
  <c r="E50" i="1"/>
  <c r="F50" i="1"/>
  <c r="G50" i="1"/>
  <c r="H50" i="1"/>
  <c r="I50" i="1"/>
  <c r="J50" i="1"/>
  <c r="K50" i="1"/>
  <c r="L50" i="1"/>
  <c r="M50" i="1"/>
  <c r="N50" i="1"/>
  <c r="O50" i="1"/>
  <c r="P50" i="1"/>
  <c r="Q50" i="1"/>
  <c r="R50" i="1"/>
  <c r="S50" i="1"/>
  <c r="T50" i="1"/>
  <c r="U50" i="1"/>
  <c r="V50" i="1"/>
  <c r="W50" i="1"/>
  <c r="X50" i="1"/>
  <c r="Y50" i="1"/>
  <c r="C43" i="1"/>
  <c r="D43" i="1"/>
  <c r="E43" i="1"/>
  <c r="F43" i="1"/>
  <c r="G43" i="1"/>
  <c r="H43" i="1"/>
  <c r="I43" i="1"/>
  <c r="J43" i="1"/>
  <c r="K43" i="1"/>
  <c r="L43" i="1"/>
  <c r="M43" i="1"/>
  <c r="N43" i="1"/>
  <c r="O43" i="1"/>
  <c r="P43" i="1"/>
  <c r="Q43" i="1"/>
  <c r="R43" i="1"/>
  <c r="S43" i="1"/>
  <c r="T43" i="1"/>
  <c r="U43" i="1"/>
  <c r="V43" i="1"/>
  <c r="W43" i="1"/>
  <c r="X43" i="1"/>
  <c r="Y43" i="1"/>
  <c r="C38" i="1"/>
  <c r="D38" i="1"/>
  <c r="E38" i="1"/>
  <c r="F38" i="1"/>
  <c r="G38" i="1"/>
  <c r="H38" i="1"/>
  <c r="I38" i="1"/>
  <c r="J38" i="1"/>
  <c r="K38" i="1"/>
  <c r="L38" i="1"/>
  <c r="M38" i="1"/>
  <c r="N38" i="1"/>
  <c r="O38" i="1"/>
  <c r="P38" i="1"/>
  <c r="Q38" i="1"/>
  <c r="R38" i="1"/>
  <c r="S38" i="1"/>
  <c r="T38" i="1"/>
  <c r="U38" i="1"/>
  <c r="V38" i="1"/>
  <c r="W38" i="1"/>
  <c r="X38" i="1"/>
  <c r="Y38" i="1"/>
  <c r="B43" i="1"/>
  <c r="B38" i="1"/>
  <c r="K46" i="1" l="1"/>
  <c r="Y46" i="1"/>
  <c r="C46" i="1"/>
  <c r="D46" i="1"/>
  <c r="E46" i="1"/>
  <c r="F46" i="1"/>
  <c r="G46" i="1"/>
  <c r="H46" i="1"/>
  <c r="I46" i="1"/>
  <c r="J46" i="1"/>
  <c r="L46" i="1"/>
  <c r="M46" i="1"/>
  <c r="O46" i="1"/>
  <c r="P46" i="1"/>
  <c r="Q46" i="1"/>
  <c r="R46" i="1"/>
  <c r="S46" i="1"/>
  <c r="T46" i="1"/>
  <c r="U46" i="1"/>
  <c r="V46" i="1"/>
  <c r="W46" i="1"/>
  <c r="X46" i="1"/>
  <c r="B33" i="1"/>
  <c r="B46" i="1" s="1"/>
  <c r="E11" i="1"/>
  <c r="E24" i="1"/>
  <c r="F24" i="1"/>
  <c r="X19" i="1"/>
  <c r="Y24" i="1"/>
  <c r="C24" i="1"/>
  <c r="D24" i="1"/>
  <c r="G24" i="1"/>
  <c r="H24" i="1"/>
  <c r="I24" i="1"/>
  <c r="J24" i="1"/>
  <c r="K24" i="1"/>
  <c r="L24" i="1"/>
  <c r="M24" i="1"/>
  <c r="N24" i="1"/>
  <c r="O24" i="1"/>
  <c r="P24" i="1"/>
  <c r="Q24" i="1"/>
  <c r="R24" i="1"/>
  <c r="S24" i="1"/>
  <c r="T24" i="1"/>
  <c r="U24" i="1"/>
  <c r="V24" i="1"/>
  <c r="W24" i="1"/>
  <c r="X24" i="1"/>
  <c r="B24" i="1"/>
  <c r="C19" i="1"/>
  <c r="D19" i="1"/>
  <c r="E19" i="1"/>
  <c r="F19" i="1"/>
  <c r="G19" i="1"/>
  <c r="H19" i="1"/>
  <c r="I19" i="1"/>
  <c r="J19" i="1"/>
  <c r="K19" i="1"/>
  <c r="L19" i="1"/>
  <c r="M19" i="1"/>
  <c r="N19" i="1"/>
  <c r="O19" i="1"/>
  <c r="P19" i="1"/>
  <c r="Q19" i="1"/>
  <c r="R19" i="1"/>
  <c r="S19" i="1"/>
  <c r="T19" i="1"/>
  <c r="U19" i="1"/>
  <c r="V19" i="1"/>
  <c r="W19" i="1"/>
  <c r="Y19" i="1"/>
  <c r="B19" i="1"/>
  <c r="C15" i="1"/>
  <c r="D15" i="1"/>
  <c r="E15" i="1"/>
  <c r="F15" i="1"/>
  <c r="G15" i="1"/>
  <c r="H15" i="1"/>
  <c r="I15" i="1"/>
  <c r="J15" i="1"/>
  <c r="K15" i="1"/>
  <c r="L15" i="1"/>
  <c r="M15" i="1"/>
  <c r="N15" i="1"/>
  <c r="O15" i="1"/>
  <c r="P15" i="1"/>
  <c r="Q15" i="1"/>
  <c r="R15" i="1"/>
  <c r="S15" i="1"/>
  <c r="T15" i="1"/>
  <c r="U15" i="1"/>
  <c r="V15" i="1"/>
  <c r="W15" i="1"/>
  <c r="X15" i="1"/>
  <c r="Y15" i="1"/>
  <c r="B15" i="1"/>
  <c r="F11" i="1"/>
  <c r="C11" i="1"/>
  <c r="D11" i="1"/>
  <c r="G11" i="1"/>
  <c r="H11" i="1"/>
  <c r="I11" i="1"/>
  <c r="J11" i="1"/>
  <c r="K11" i="1"/>
  <c r="L11" i="1"/>
  <c r="M11" i="1"/>
  <c r="N11" i="1"/>
  <c r="O11" i="1"/>
  <c r="P11" i="1"/>
  <c r="Q11" i="1"/>
  <c r="R11" i="1"/>
  <c r="S11" i="1"/>
  <c r="T11" i="1"/>
  <c r="U11" i="1"/>
  <c r="V11" i="1"/>
  <c r="W11" i="1"/>
  <c r="X11" i="1"/>
  <c r="Y11" i="1"/>
  <c r="B11" i="1"/>
  <c r="Y7" i="1"/>
  <c r="J7" i="1"/>
  <c r="C7" i="1"/>
  <c r="D7" i="1"/>
  <c r="E7" i="1"/>
  <c r="F7" i="1"/>
  <c r="G7" i="1"/>
  <c r="H7" i="1"/>
  <c r="I7" i="1"/>
  <c r="K7" i="1"/>
  <c r="L7" i="1"/>
  <c r="M7" i="1"/>
  <c r="N7" i="1"/>
  <c r="O7" i="1"/>
  <c r="P7" i="1"/>
  <c r="Q7" i="1"/>
  <c r="R7" i="1"/>
  <c r="S7" i="1"/>
  <c r="T7" i="1"/>
  <c r="U7" i="1"/>
  <c r="V7" i="1"/>
  <c r="W7" i="1"/>
  <c r="X7" i="1"/>
  <c r="B7" i="1"/>
  <c r="B50" i="1"/>
  <c r="Y26" i="1" l="1"/>
  <c r="Y54" i="1" s="1"/>
  <c r="U26" i="1"/>
  <c r="U54" i="1" s="1"/>
  <c r="X26" i="1"/>
  <c r="X54" i="1" s="1"/>
  <c r="V26" i="1"/>
  <c r="V54" i="1" s="1"/>
  <c r="T26" i="1"/>
  <c r="T54" i="1" s="1"/>
  <c r="Q26" i="1"/>
  <c r="Q54" i="1" s="1"/>
  <c r="I26" i="1"/>
  <c r="I54" i="1" s="1"/>
  <c r="J26" i="1"/>
  <c r="J54" i="1" s="1"/>
  <c r="P26" i="1"/>
  <c r="P54" i="1" s="1"/>
  <c r="H26" i="1"/>
  <c r="H54" i="1" s="1"/>
  <c r="F26" i="1"/>
  <c r="F54" i="1" s="1"/>
  <c r="R26" i="1"/>
  <c r="R54" i="1" s="1"/>
  <c r="W26" i="1"/>
  <c r="W54" i="1" s="1"/>
  <c r="G26" i="1"/>
  <c r="G54" i="1" s="1"/>
  <c r="L26" i="1"/>
  <c r="L54" i="1" s="1"/>
  <c r="S26" i="1"/>
  <c r="S54" i="1" s="1"/>
  <c r="K26" i="1"/>
  <c r="K54" i="1" s="1"/>
  <c r="M26" i="1"/>
  <c r="M54" i="1" s="1"/>
  <c r="E26" i="1"/>
  <c r="E54" i="1" s="1"/>
  <c r="D26" i="1"/>
  <c r="D54" i="1" s="1"/>
  <c r="C26" i="1"/>
  <c r="C54" i="1" s="1"/>
  <c r="O26" i="1"/>
  <c r="O54" i="1" s="1"/>
  <c r="B26" i="1"/>
  <c r="B54" i="1" s="1"/>
  <c r="N26" i="1"/>
  <c r="N54" i="1" s="1"/>
  <c r="AD56" i="1" l="1"/>
  <c r="AD41" i="1"/>
  <c r="AD34" i="1"/>
  <c r="AD27" i="1"/>
  <c r="AD21" i="1"/>
  <c r="AD14" i="1"/>
</calcChain>
</file>

<file path=xl/sharedStrings.xml><?xml version="1.0" encoding="utf-8"?>
<sst xmlns="http://schemas.openxmlformats.org/spreadsheetml/2006/main" count="433" uniqueCount="227">
  <si>
    <t>POIDS</t>
  </si>
  <si>
    <t>Lire et comprendre le sujet</t>
  </si>
  <si>
    <t>Compétences</t>
  </si>
  <si>
    <t>Compétences générales</t>
  </si>
  <si>
    <t>Compétences spécifiques ALGO</t>
  </si>
  <si>
    <t>Analyser un problème</t>
  </si>
  <si>
    <t>Justifier le choix des structures de données correspondant au problème</t>
  </si>
  <si>
    <t>Compétences spécigique PYTHON-ALG0</t>
  </si>
  <si>
    <t xml:space="preserve">     - Constantes</t>
  </si>
  <si>
    <t xml:space="preserve">     - Types</t>
  </si>
  <si>
    <t xml:space="preserve">     - Variables </t>
  </si>
  <si>
    <t xml:space="preserve">     - Type du sous-programme</t>
  </si>
  <si>
    <t xml:space="preserve">     - Mode de passage des paramètres </t>
  </si>
  <si>
    <t xml:space="preserve">     - Exemples d'appel</t>
  </si>
  <si>
    <t xml:space="preserve">     - Déclarations</t>
  </si>
  <si>
    <t xml:space="preserve">     - Utilisation des sous-programmes  et opérateurs à disposition </t>
  </si>
  <si>
    <t xml:space="preserve">     - choix de l'instruction de contrôle</t>
  </si>
  <si>
    <t xml:space="preserve">     - condition d'arrêt</t>
  </si>
  <si>
    <t xml:space="preserve">     - localisation de la partie de code à répéter</t>
  </si>
  <si>
    <t>Identifier la séquence de code à répéter</t>
  </si>
  <si>
    <t xml:space="preserve">Comprendre le rôle et des paramètres d'un sous-programme </t>
  </si>
  <si>
    <t xml:space="preserve">Ecrire  un algorithme correspondant au problème </t>
  </si>
  <si>
    <t>Généraliser un traitement</t>
  </si>
  <si>
    <t xml:space="preserve">     - Choix du type de sous-programme</t>
  </si>
  <si>
    <t xml:space="preserve">     - Choix du type de la valeur de retour</t>
  </si>
  <si>
    <t xml:space="preserve">     - Choix du mode de passage de paramètre</t>
  </si>
  <si>
    <t xml:space="preserve">     - Appel du sious-programme</t>
  </si>
  <si>
    <t xml:space="preserve">Ecrire un algorithme de manière lisible </t>
  </si>
  <si>
    <t xml:space="preserve">     - Qualité du code et respect de la syntaxe </t>
  </si>
  <si>
    <t xml:space="preserve">     - instruction de contrôle de type boucle</t>
  </si>
  <si>
    <t xml:space="preserve">     - Instruction de contrôle de type test</t>
  </si>
  <si>
    <t xml:space="preserve">     - choix et justification du type de données approprié</t>
  </si>
  <si>
    <t xml:space="preserve">     - justification des choix </t>
  </si>
  <si>
    <t>Choisir le type python approprié au pproblème</t>
  </si>
  <si>
    <t xml:space="preserve">     - Corps du programme</t>
  </si>
  <si>
    <t>Coder un sous-programme en python adapté à la demande</t>
  </si>
  <si>
    <t xml:space="preserve">     - exemple d'appel</t>
  </si>
  <si>
    <t>BAABI</t>
  </si>
  <si>
    <t>BELGNAOUI</t>
  </si>
  <si>
    <t>HADI</t>
  </si>
  <si>
    <t>QUEFFELEC</t>
  </si>
  <si>
    <t>CAPDEVIELLE</t>
  </si>
  <si>
    <t>CRAMPETTE</t>
  </si>
  <si>
    <t>DANTON LALOY</t>
  </si>
  <si>
    <t>GENDRE</t>
  </si>
  <si>
    <t>GLOUX</t>
  </si>
  <si>
    <t>MONGE ROUCHDI</t>
  </si>
  <si>
    <t>PAZZE</t>
  </si>
  <si>
    <t>PEZET</t>
  </si>
  <si>
    <t>RHODES</t>
  </si>
  <si>
    <t>SALANIE</t>
  </si>
  <si>
    <t>SANCHEZ</t>
  </si>
  <si>
    <t xml:space="preserve">Suivre les consignes </t>
  </si>
  <si>
    <t xml:space="preserve">Comprendre le problème et le modéliser </t>
  </si>
  <si>
    <t>Prendre en main un nouveau logiciel (ORANGE DATA MINING)</t>
  </si>
  <si>
    <t>GESTION DE DIALOGOGUE</t>
  </si>
  <si>
    <t xml:space="preserve">Analyser un problème et identifier les sous-tâches </t>
  </si>
  <si>
    <t>prendre en main un noubeau logiciel (RASA)</t>
  </si>
  <si>
    <t xml:space="preserve">Comprendre l'architecture d'un chatbot et savoir restituer les éléments </t>
  </si>
  <si>
    <t>Faire évoluer le chatbot</t>
  </si>
  <si>
    <t>INTENT</t>
  </si>
  <si>
    <t>ENTITE</t>
  </si>
  <si>
    <t>SLOTS</t>
  </si>
  <si>
    <t>STORIES</t>
  </si>
  <si>
    <t xml:space="preserve">ACTION </t>
  </si>
  <si>
    <t>Tester un chatbot</t>
  </si>
  <si>
    <t>Analyser les résultats</t>
  </si>
  <si>
    <t>justifier la décomposition porposée</t>
  </si>
  <si>
    <t>Donner une vue globale du problème  (arbre de tâches)</t>
  </si>
  <si>
    <t xml:space="preserve">Justification et clarté de la représentation </t>
  </si>
  <si>
    <t xml:space="preserve">Repérer les séquences d'insertion </t>
  </si>
  <si>
    <t>et justifier leur rôle</t>
  </si>
  <si>
    <t>Caractériser un système de dialogue</t>
  </si>
  <si>
    <t>Justifier les porpositions</t>
  </si>
  <si>
    <t>identifier le type de stratégie de dialogue répondant au problème</t>
  </si>
  <si>
    <t xml:space="preserve">Justifier  la proposition </t>
  </si>
  <si>
    <t>Proposer un modèle de dialogue pertinent et clair</t>
  </si>
  <si>
    <t xml:space="preserve">COMPRÉHENSION </t>
  </si>
  <si>
    <t>Représenter sous forme d'automate</t>
  </si>
  <si>
    <t>Repésenter l'interprétation d'un énoncé</t>
  </si>
  <si>
    <t>Conformité du résultat</t>
  </si>
  <si>
    <t xml:space="preserve">Adapter au sujet (enoncé erroné) </t>
  </si>
  <si>
    <t xml:space="preserve">Identification des intentions de l'utilisateur </t>
  </si>
  <si>
    <t xml:space="preserve">Justification </t>
  </si>
  <si>
    <t>BONUS</t>
  </si>
  <si>
    <t xml:space="preserve">NOTE FINALE </t>
  </si>
  <si>
    <t>PENALITÉ (Présence/abence  Cours)</t>
  </si>
  <si>
    <t>LALANNE</t>
  </si>
  <si>
    <t>BASTIDE</t>
  </si>
  <si>
    <t>BEN HAMMAALI</t>
  </si>
  <si>
    <t>DUONG</t>
  </si>
  <si>
    <t>GAY</t>
  </si>
  <si>
    <t>RANDRIA</t>
  </si>
  <si>
    <t>VEGA</t>
  </si>
  <si>
    <t>VIGUIER</t>
  </si>
  <si>
    <t xml:space="preserve">Respecter les spécifications fournies </t>
  </si>
  <si>
    <t>Modéliser les énoncés ciblés par une grammaire (grammaire générique - interaction mixte)</t>
  </si>
  <si>
    <t>Modéliser les énoncés ciblés par une grammaire (confirmation implicite)</t>
  </si>
  <si>
    <t>Décrire les spécificités de la grammaire</t>
  </si>
  <si>
    <t>Compléter le code pour ajouter les fonctionnalités demandées</t>
  </si>
  <si>
    <t>Travailler en autonomie et de manière méthodique</t>
  </si>
  <si>
    <t xml:space="preserve">DIALOGUE ORAL </t>
  </si>
  <si>
    <t>Prendre en main un nouveau langage (VXML)</t>
  </si>
  <si>
    <t xml:space="preserve">Prendre en main un nouveau logiciel ( OPTIMTALK ) </t>
  </si>
  <si>
    <t>Comprendre le code fourni et le fonctionnement de l'outil</t>
  </si>
  <si>
    <t>justifier la décomposition proposée</t>
  </si>
  <si>
    <t>ORANGE - CLASSIFICATION INTENTIONS</t>
  </si>
  <si>
    <t>Comprendre la problématique de la classification d'intention</t>
  </si>
  <si>
    <t>Comprendre quelles sont les données manipulées (origine, spécificités, ...)</t>
  </si>
  <si>
    <t>Justifier les choix des méthodes de classification non supervisée</t>
  </si>
  <si>
    <t>Analyser les résultats et produire des commentaires pertinents et cohérents</t>
  </si>
  <si>
    <t xml:space="preserve">Synthétiser l'ensemble des résultats </t>
  </si>
  <si>
    <t xml:space="preserve">Tirer des conclusions </t>
  </si>
  <si>
    <t xml:space="preserve">Rédiger un compte rendu clair, bien structuré, bien illustré. </t>
  </si>
  <si>
    <t>Etre ponctuel / Informer de ses absences</t>
  </si>
  <si>
    <t xml:space="preserve">Exposer clairement et synthétiquement le contexte de l'étude à mener </t>
  </si>
  <si>
    <t>Choisir une méthodologie pertinente et savoir l'exposer de manière rigoureuse</t>
  </si>
  <si>
    <t>COMPORTEMENT GENERAL</t>
  </si>
  <si>
    <t xml:space="preserve">Comprendre le rôle de la gestion de dialogue et tester son fonctionnement </t>
  </si>
  <si>
    <t xml:space="preserve">Rédiger et structurer proprement un document à rendre </t>
  </si>
  <si>
    <t>Comprendre le concept de grammaire, l'appliquer de manière appropriée, construire un résultat pertinent</t>
  </si>
  <si>
    <t>Restituer et mettre en forme des résultats conforme aux attentes (qualité, clarté, exhaustivité, …) **</t>
  </si>
  <si>
    <t>Tester son code de manière exhaustive,  donner des preuves de test dans un document structuré et commenté, et analyser les résultats (capture écran seule et en vrac  = insuffisant) **</t>
  </si>
  <si>
    <t>Adopter une méthodologie logique et scientifiquement justifiée **</t>
  </si>
  <si>
    <t>Expliquer le prétraitement des données effectuées (rôle de l'ACP) **</t>
  </si>
  <si>
    <t>Comparer les résultats sur des critères logiques et pertinents (mêmes données / mêmes méthodes / même  paramétrisation) **</t>
  </si>
  <si>
    <t>Tester plusieurs approches et réaliser des tests pour déterminer les meilleurs paramètres et jsutifier les choix **</t>
  </si>
  <si>
    <t>Collecter et présenter des résultats obtenus avec ORANGE (intégrer, légendre et commenter les captures écran) **</t>
  </si>
  <si>
    <t>Produire un travail original (pas de plagiat, de récupération de code, de copier coller abusif, de recours à une IA de manière inconsidérée, non conforeme à la charte de l'UT)**</t>
  </si>
  <si>
    <t>Produire un travail original (pas de plagiat, de récupération de code, de copier coller abusif, de recours à une IA de manière inconsidérée non conforeme à la charte de l'UT)**</t>
  </si>
  <si>
    <t>COMPETENCES TP / PROJETS DOHM ou AGENTS CONVERSATIONNELS</t>
  </si>
  <si>
    <t xml:space="preserve">EVALUATION EN COMPÉTENCES - DOHM </t>
  </si>
  <si>
    <t xml:space="preserve">Bonus Présence </t>
  </si>
  <si>
    <t xml:space="preserve">Présence  aux séances de COURS </t>
  </si>
  <si>
    <t>Lire et comprendre le sujet  - Faire clarifier au besoin</t>
  </si>
  <si>
    <t>GESTION DE L'HISTORIQUE</t>
  </si>
  <si>
    <t>GESTION DE DIALOGUE</t>
  </si>
  <si>
    <t xml:space="preserve">CRITÈRES D’ÉVALUATION DU PROJET D’INTÉGRATION : </t>
  </si>
  <si>
    <t xml:space="preserve">APPLICATION, CONTRIBUTION INDIVUDUELLE ET COLLECTIVE </t>
  </si>
  <si>
    <t>L’ensemble du projet sera évalué en fonction des critères suivants et le niveau de compétences associé :</t>
  </si>
  <si>
    <r>
      <t>·</t>
    </r>
    <r>
      <rPr>
        <sz val="7"/>
        <color theme="1"/>
        <rFont val="Times New Roman"/>
        <family val="1"/>
      </rPr>
      <t xml:space="preserve">       </t>
    </r>
    <r>
      <rPr>
        <b/>
        <sz val="12"/>
        <color rgb="FF00B050"/>
        <rFont val="Tw Cen MT"/>
        <family val="2"/>
      </rPr>
      <t>acquis</t>
    </r>
    <r>
      <rPr>
        <b/>
        <sz val="12"/>
        <color theme="1"/>
        <rFont val="Tw Cen MT"/>
        <family val="2"/>
      </rPr>
      <t xml:space="preserve">, </t>
    </r>
    <r>
      <rPr>
        <b/>
        <sz val="12"/>
        <color rgb="FFFFC000"/>
        <rFont val="Tw Cen MT"/>
        <family val="2"/>
      </rPr>
      <t>partiellement acquis</t>
    </r>
    <r>
      <rPr>
        <b/>
        <sz val="12"/>
        <color theme="1"/>
        <rFont val="Tw Cen MT"/>
        <family val="2"/>
      </rPr>
      <t xml:space="preserve">, </t>
    </r>
    <r>
      <rPr>
        <b/>
        <sz val="12"/>
        <color rgb="FFC00000"/>
        <rFont val="Tw Cen MT"/>
        <family val="2"/>
      </rPr>
      <t xml:space="preserve">non </t>
    </r>
    <r>
      <rPr>
        <sz val="12"/>
        <color rgb="FFC00000"/>
        <rFont val="Tw Cen MT"/>
        <family val="2"/>
      </rPr>
      <t xml:space="preserve">acquis </t>
    </r>
  </si>
  <si>
    <r>
      <t>·</t>
    </r>
    <r>
      <rPr>
        <sz val="7"/>
        <color theme="1"/>
        <rFont val="Times New Roman"/>
        <family val="1"/>
      </rPr>
      <t xml:space="preserve">       </t>
    </r>
    <r>
      <rPr>
        <sz val="12"/>
        <color theme="1"/>
        <rFont val="Tw Cen MT"/>
        <family val="2"/>
      </rPr>
      <t xml:space="preserve">ou </t>
    </r>
    <r>
      <rPr>
        <b/>
        <sz val="12"/>
        <color rgb="FFC00000"/>
        <rFont val="Tw Cen MT"/>
        <family val="2"/>
      </rPr>
      <t>insuffisant</t>
    </r>
    <r>
      <rPr>
        <b/>
        <sz val="12"/>
        <color theme="1"/>
        <rFont val="Tw Cen MT"/>
        <family val="2"/>
      </rPr>
      <t>/</t>
    </r>
    <r>
      <rPr>
        <b/>
        <sz val="12"/>
        <color rgb="FFFFC000"/>
        <rFont val="Tw Cen MT"/>
        <family val="2"/>
      </rPr>
      <t>faible</t>
    </r>
    <r>
      <rPr>
        <b/>
        <sz val="12"/>
        <color theme="1"/>
        <rFont val="Tw Cen MT"/>
        <family val="2"/>
      </rPr>
      <t>/</t>
    </r>
    <r>
      <rPr>
        <b/>
        <sz val="12"/>
        <color rgb="FF92D050"/>
        <rFont val="Tw Cen MT"/>
        <family val="2"/>
      </rPr>
      <t>attendu</t>
    </r>
    <r>
      <rPr>
        <b/>
        <sz val="12"/>
        <color theme="1"/>
        <rFont val="Tw Cen MT"/>
        <family val="2"/>
      </rPr>
      <t>/</t>
    </r>
    <r>
      <rPr>
        <b/>
        <sz val="12"/>
        <color rgb="FF00B050"/>
        <rFont val="Tw Cen MT"/>
        <family val="2"/>
      </rPr>
      <t>au-delà des attentes</t>
    </r>
    <r>
      <rPr>
        <sz val="12"/>
        <color rgb="FF00B050"/>
        <rFont val="Tw Cen MT"/>
        <family val="2"/>
      </rPr>
      <t xml:space="preserve"> </t>
    </r>
    <r>
      <rPr>
        <sz val="12"/>
        <color theme="1"/>
        <rFont val="Tw Cen MT"/>
        <family val="2"/>
      </rPr>
      <t xml:space="preserve">(equivalent à NAME)    </t>
    </r>
  </si>
  <si>
    <t xml:space="preserve">COMPORTEMENT GÉNÉRAL (individuel) </t>
  </si>
  <si>
    <r>
      <t>·</t>
    </r>
    <r>
      <rPr>
        <sz val="7"/>
        <color theme="1"/>
        <rFont val="Times New Roman"/>
        <family val="1"/>
      </rPr>
      <t xml:space="preserve">      </t>
    </r>
    <r>
      <rPr>
        <sz val="12"/>
        <color theme="1"/>
        <rFont val="Tw Cen MT"/>
        <family val="2"/>
      </rPr>
      <t>Comprendre la demande du client et au besoin la faire clarifier</t>
    </r>
  </si>
  <si>
    <r>
      <t>·</t>
    </r>
    <r>
      <rPr>
        <sz val="7"/>
        <color theme="1"/>
        <rFont val="Times New Roman"/>
        <family val="1"/>
      </rPr>
      <t xml:space="preserve">      </t>
    </r>
    <r>
      <rPr>
        <sz val="12"/>
        <color theme="1"/>
        <rFont val="Tw Cen MT"/>
        <family val="2"/>
      </rPr>
      <t>Suivre les consignes</t>
    </r>
  </si>
  <si>
    <r>
      <t>·</t>
    </r>
    <r>
      <rPr>
        <sz val="7"/>
        <color theme="1"/>
        <rFont val="Times New Roman"/>
        <family val="1"/>
      </rPr>
      <t xml:space="preserve">      </t>
    </r>
    <r>
      <rPr>
        <sz val="12"/>
        <color theme="1"/>
        <rFont val="Tw Cen MT"/>
        <family val="2"/>
      </rPr>
      <t>Être ponctuel / Informer les enseignants de ses absences</t>
    </r>
  </si>
  <si>
    <r>
      <t>·</t>
    </r>
    <r>
      <rPr>
        <sz val="7"/>
        <color theme="1"/>
        <rFont val="Times New Roman"/>
        <family val="1"/>
      </rPr>
      <t xml:space="preserve">      </t>
    </r>
    <r>
      <rPr>
        <sz val="12"/>
        <color theme="1"/>
        <rFont val="Tw Cen MT"/>
        <family val="2"/>
      </rPr>
      <t>Travailler en autonomie, de manière efficace et méthodique</t>
    </r>
  </si>
  <si>
    <r>
      <t>·</t>
    </r>
    <r>
      <rPr>
        <sz val="7"/>
        <color theme="1"/>
        <rFont val="Times New Roman"/>
        <family val="1"/>
      </rPr>
      <t xml:space="preserve">      </t>
    </r>
    <r>
      <rPr>
        <sz val="12"/>
        <color theme="1"/>
        <rFont val="Tw Cen MT"/>
        <family val="2"/>
      </rPr>
      <t>Se coordonner avec les autres membres du groupe</t>
    </r>
  </si>
  <si>
    <r>
      <t>·</t>
    </r>
    <r>
      <rPr>
        <sz val="7"/>
        <color theme="1"/>
        <rFont val="Times New Roman"/>
        <family val="1"/>
      </rPr>
      <t xml:space="preserve">      </t>
    </r>
    <r>
      <rPr>
        <sz val="12"/>
        <color theme="1"/>
        <rFont val="Tw Cen MT"/>
        <family val="2"/>
      </rPr>
      <t>Rendre compte régulièrement de son travail (groupe et client)</t>
    </r>
  </si>
  <si>
    <t>GESTION DE PROJET (collectif)</t>
  </si>
  <si>
    <r>
      <t>·</t>
    </r>
    <r>
      <rPr>
        <sz val="7"/>
        <color theme="1"/>
        <rFont val="Times New Roman"/>
        <family val="1"/>
      </rPr>
      <t xml:space="preserve">      </t>
    </r>
    <r>
      <rPr>
        <sz val="12"/>
        <color theme="1"/>
        <rFont val="Tw Cen MT"/>
        <family val="2"/>
      </rPr>
      <t>Réfléchir collectivement au problème posé</t>
    </r>
  </si>
  <si>
    <r>
      <t>·</t>
    </r>
    <r>
      <rPr>
        <sz val="7"/>
        <color theme="1"/>
        <rFont val="Times New Roman"/>
        <family val="1"/>
      </rPr>
      <t xml:space="preserve">      </t>
    </r>
    <r>
      <rPr>
        <sz val="12"/>
        <color theme="1"/>
        <rFont val="Tw Cen MT"/>
        <family val="2"/>
      </rPr>
      <t>Proposer une solution globale et cohérente qui réponde aux attentes</t>
    </r>
  </si>
  <si>
    <r>
      <t>·</t>
    </r>
    <r>
      <rPr>
        <sz val="7"/>
        <color theme="1"/>
        <rFont val="Times New Roman"/>
        <family val="1"/>
      </rPr>
      <t xml:space="preserve">      </t>
    </r>
    <r>
      <rPr>
        <sz val="12"/>
        <color theme="1"/>
        <rFont val="Tw Cen MT"/>
        <family val="2"/>
      </rPr>
      <t>Décomposer la solution et se répartir équitablement le travail</t>
    </r>
  </si>
  <si>
    <r>
      <t>·</t>
    </r>
    <r>
      <rPr>
        <sz val="7"/>
        <color theme="1"/>
        <rFont val="Times New Roman"/>
        <family val="1"/>
      </rPr>
      <t xml:space="preserve">      </t>
    </r>
    <r>
      <rPr>
        <sz val="12"/>
        <color theme="1"/>
        <rFont val="Tw Cen MT"/>
        <family val="2"/>
      </rPr>
      <t>Manager le groupe / Fonctionner en groupe de manière efficace</t>
    </r>
  </si>
  <si>
    <r>
      <t>·</t>
    </r>
    <r>
      <rPr>
        <sz val="7"/>
        <color theme="1"/>
        <rFont val="Times New Roman"/>
        <family val="1"/>
      </rPr>
      <t xml:space="preserve">      </t>
    </r>
    <r>
      <rPr>
        <sz val="12"/>
        <color theme="1"/>
        <rFont val="Tw Cen MT"/>
        <family val="2"/>
      </rPr>
      <t>Adopter une approche agile via les “daily meeting” en début de chaque séance projet (session de 4 heures).</t>
    </r>
  </si>
  <si>
    <t>CHATBOT</t>
  </si>
  <si>
    <t>Compréhension</t>
  </si>
  <si>
    <r>
      <t>·</t>
    </r>
    <r>
      <rPr>
        <sz val="7"/>
        <color theme="1"/>
        <rFont val="Times New Roman"/>
        <family val="1"/>
      </rPr>
      <t xml:space="preserve">      </t>
    </r>
    <r>
      <rPr>
        <sz val="12"/>
        <color theme="1"/>
        <rFont val="Tw Cen MT"/>
        <family val="2"/>
      </rPr>
      <t>Identifier les tâches/sous-tâches</t>
    </r>
  </si>
  <si>
    <r>
      <t>·</t>
    </r>
    <r>
      <rPr>
        <sz val="7"/>
        <color theme="1"/>
        <rFont val="Times New Roman"/>
        <family val="1"/>
      </rPr>
      <t xml:space="preserve">      </t>
    </r>
    <r>
      <rPr>
        <sz val="12"/>
        <color theme="1"/>
        <rFont val="Tw Cen MT"/>
        <family val="2"/>
      </rPr>
      <t>Modéliser les concepts liés à la compréhension (intent, entity, slot)</t>
    </r>
  </si>
  <si>
    <r>
      <t>·</t>
    </r>
    <r>
      <rPr>
        <sz val="7"/>
        <color theme="1"/>
        <rFont val="Times New Roman"/>
        <family val="1"/>
      </rPr>
      <t xml:space="preserve">      </t>
    </r>
    <r>
      <rPr>
        <sz val="12"/>
        <color theme="1"/>
        <rFont val="Tw Cen MT"/>
        <family val="2"/>
      </rPr>
      <t>Prendre en compte des requêtes utilisateurs de complexité variable</t>
    </r>
  </si>
  <si>
    <r>
      <t>·</t>
    </r>
    <r>
      <rPr>
        <sz val="7"/>
        <color theme="1"/>
        <rFont val="Times New Roman"/>
        <family val="1"/>
      </rPr>
      <t xml:space="preserve">      </t>
    </r>
    <r>
      <rPr>
        <sz val="12"/>
        <color theme="1"/>
        <rFont val="Tw Cen MT"/>
        <family val="2"/>
      </rPr>
      <t>Gérer la collecte d’informations nécessaire à chaque tâche/sous-tâche.</t>
    </r>
  </si>
  <si>
    <r>
      <t>·</t>
    </r>
    <r>
      <rPr>
        <sz val="7"/>
        <color theme="1"/>
        <rFont val="Times New Roman"/>
        <family val="1"/>
      </rPr>
      <t xml:space="preserve">      </t>
    </r>
    <r>
      <rPr>
        <sz val="12"/>
        <color theme="1"/>
        <rFont val="Tw Cen MT"/>
        <family val="2"/>
      </rPr>
      <t>Justifier les choix effectués</t>
    </r>
  </si>
  <si>
    <t>Gestion de dialogue</t>
  </si>
  <si>
    <r>
      <t>·</t>
    </r>
    <r>
      <rPr>
        <sz val="7"/>
        <color theme="1"/>
        <rFont val="Times New Roman"/>
        <family val="1"/>
      </rPr>
      <t xml:space="preserve">      </t>
    </r>
    <r>
      <rPr>
        <sz val="12"/>
        <color theme="1"/>
        <rFont val="Tw Cen MT"/>
        <family val="2"/>
      </rPr>
      <t>Définir des actions pertinentes pour répondre aux demandes de l’utilisateur</t>
    </r>
  </si>
  <si>
    <r>
      <t>·</t>
    </r>
    <r>
      <rPr>
        <sz val="7"/>
        <color theme="1"/>
        <rFont val="Times New Roman"/>
        <family val="1"/>
      </rPr>
      <t xml:space="preserve">      </t>
    </r>
    <r>
      <rPr>
        <sz val="12"/>
        <color theme="1"/>
        <rFont val="Tw Cen MT"/>
        <family val="2"/>
      </rPr>
      <t>Modéliser les concepts liés à la gestion de dialogue (action, réponse, story, formulaire, …) avec différents niveaux de complexité</t>
    </r>
  </si>
  <si>
    <r>
      <t>·</t>
    </r>
    <r>
      <rPr>
        <sz val="7"/>
        <color theme="1"/>
        <rFont val="Times New Roman"/>
        <family val="1"/>
      </rPr>
      <t xml:space="preserve">      </t>
    </r>
    <r>
      <rPr>
        <sz val="12"/>
        <color theme="1"/>
        <rFont val="Tw Cen MT"/>
        <family val="2"/>
      </rPr>
      <t>Intégrer des résultats obtenus via des API dans les réponses du système</t>
    </r>
  </si>
  <si>
    <r>
      <t>·</t>
    </r>
    <r>
      <rPr>
        <sz val="7"/>
        <color theme="1"/>
        <rFont val="Times New Roman"/>
        <family val="1"/>
      </rPr>
      <t xml:space="preserve">      </t>
    </r>
    <r>
      <rPr>
        <sz val="12"/>
        <color theme="1"/>
        <rFont val="Tw Cen MT"/>
        <family val="2"/>
      </rPr>
      <t>Raisonner en fonction de l’historique de la conversation (Tracker)</t>
    </r>
  </si>
  <si>
    <t>Evaluation</t>
  </si>
  <si>
    <r>
      <t>·</t>
    </r>
    <r>
      <rPr>
        <sz val="7"/>
        <color theme="1"/>
        <rFont val="Times New Roman"/>
        <family val="1"/>
      </rPr>
      <t xml:space="preserve">      </t>
    </r>
    <r>
      <rPr>
        <sz val="12"/>
        <color theme="1"/>
        <rFont val="Tw Cen MT"/>
        <family val="2"/>
      </rPr>
      <t>Réaliser un fichier de test exhaustif</t>
    </r>
  </si>
  <si>
    <r>
      <t>·</t>
    </r>
    <r>
      <rPr>
        <sz val="7"/>
        <color theme="1"/>
        <rFont val="Times New Roman"/>
        <family val="1"/>
      </rPr>
      <t xml:space="preserve">      </t>
    </r>
    <r>
      <rPr>
        <sz val="12"/>
        <color theme="1"/>
        <rFont val="Tw Cen MT"/>
        <family val="2"/>
      </rPr>
      <t>Evaluer le chatbot développé</t>
    </r>
  </si>
  <si>
    <r>
      <t>·</t>
    </r>
    <r>
      <rPr>
        <sz val="7"/>
        <color theme="1"/>
        <rFont val="Times New Roman"/>
        <family val="1"/>
      </rPr>
      <t xml:space="preserve">      </t>
    </r>
    <r>
      <rPr>
        <sz val="12"/>
        <color theme="1"/>
        <rFont val="Tw Cen MT"/>
        <family val="2"/>
      </rPr>
      <t>Analyser et commenter les résultats obtenus pour chaque niveau de performance.</t>
    </r>
  </si>
  <si>
    <r>
      <t>·</t>
    </r>
    <r>
      <rPr>
        <sz val="7"/>
        <color theme="1"/>
        <rFont val="Times New Roman"/>
        <family val="1"/>
      </rPr>
      <t xml:space="preserve">      </t>
    </r>
    <r>
      <rPr>
        <sz val="12"/>
        <color theme="1"/>
        <rFont val="Tw Cen MT"/>
        <family val="2"/>
      </rPr>
      <t>Rendre compte de ces résultats de manière synthétique à l’oral (présentation) et de manière structurée et détaillée à l’écrit (rapport).</t>
    </r>
  </si>
  <si>
    <t>VOICEBOT et MULTIMODALITÉ</t>
  </si>
  <si>
    <r>
      <t>·</t>
    </r>
    <r>
      <rPr>
        <sz val="7"/>
        <color theme="1"/>
        <rFont val="Times New Roman"/>
        <family val="1"/>
      </rPr>
      <t xml:space="preserve">      </t>
    </r>
    <r>
      <rPr>
        <sz val="12"/>
        <color theme="1"/>
        <rFont val="Tw Cen MT"/>
        <family val="2"/>
      </rPr>
      <t>Intégrer la composante STT pour recueillir les requêtes de l’utilisateur</t>
    </r>
  </si>
  <si>
    <r>
      <t>·</t>
    </r>
    <r>
      <rPr>
        <sz val="7"/>
        <color theme="1"/>
        <rFont val="Times New Roman"/>
        <family val="1"/>
      </rPr>
      <t xml:space="preserve">      </t>
    </r>
    <r>
      <rPr>
        <sz val="12"/>
        <color theme="1"/>
        <rFont val="Tw Cen MT"/>
        <family val="2"/>
      </rPr>
      <t>Intégrer la composante TTS pour répondre oralement à l’utilisateur</t>
    </r>
  </si>
  <si>
    <r>
      <t>·</t>
    </r>
    <r>
      <rPr>
        <sz val="7"/>
        <color theme="1"/>
        <rFont val="Times New Roman"/>
        <family val="1"/>
      </rPr>
      <t xml:space="preserve">      </t>
    </r>
    <r>
      <rPr>
        <sz val="12"/>
        <color theme="1"/>
        <rFont val="Tw Cen MT"/>
        <family val="2"/>
      </rPr>
      <t>Intégrer d’autres modalités suivant les besoins et la pertinence de celles-ci vis à vis du profil utilisateur ou de l’application envisagée</t>
    </r>
  </si>
  <si>
    <t>ACCEPTABILITÉ</t>
  </si>
  <si>
    <r>
      <t>·</t>
    </r>
    <r>
      <rPr>
        <sz val="7"/>
        <color theme="1"/>
        <rFont val="Times New Roman"/>
        <family val="1"/>
      </rPr>
      <t xml:space="preserve">      </t>
    </r>
    <r>
      <rPr>
        <sz val="12"/>
        <color theme="1"/>
        <rFont val="Tw Cen MT"/>
        <family val="2"/>
      </rPr>
      <t>Prendre en compte la question de l’acceptabilité vis à vis des situations des utilisateurs (profil, âge, handicap, …)</t>
    </r>
  </si>
  <si>
    <r>
      <t>·</t>
    </r>
    <r>
      <rPr>
        <sz val="7"/>
        <color theme="1"/>
        <rFont val="Times New Roman"/>
        <family val="1"/>
      </rPr>
      <t xml:space="preserve">      </t>
    </r>
    <r>
      <rPr>
        <sz val="12"/>
        <color theme="1"/>
        <rFont val="Tw Cen MT"/>
        <family val="2"/>
      </rPr>
      <t>Mettre en œuvre les fonctionnalités nécessaires</t>
    </r>
  </si>
  <si>
    <r>
      <t>·</t>
    </r>
    <r>
      <rPr>
        <sz val="7"/>
        <color theme="1"/>
        <rFont val="Times New Roman"/>
        <family val="1"/>
      </rPr>
      <t xml:space="preserve">      </t>
    </r>
    <r>
      <rPr>
        <sz val="12"/>
        <color theme="1"/>
        <rFont val="Tw Cen MT"/>
        <family val="2"/>
      </rPr>
      <t>Justifier vos choix</t>
    </r>
  </si>
  <si>
    <t xml:space="preserve">CODE </t>
  </si>
  <si>
    <r>
      <t>·</t>
    </r>
    <r>
      <rPr>
        <sz val="7"/>
        <color theme="1"/>
        <rFont val="Times New Roman"/>
        <family val="1"/>
      </rPr>
      <t xml:space="preserve">      </t>
    </r>
    <r>
      <rPr>
        <sz val="12"/>
        <color theme="1"/>
        <rFont val="Tw Cen MT"/>
        <family val="2"/>
      </rPr>
      <t>Structurer une application en modules ou composants logiciels pertinents</t>
    </r>
  </si>
  <si>
    <r>
      <t>·</t>
    </r>
    <r>
      <rPr>
        <sz val="7"/>
        <color theme="1"/>
        <rFont val="Times New Roman"/>
        <family val="1"/>
      </rPr>
      <t xml:space="preserve">      </t>
    </r>
    <r>
      <rPr>
        <sz val="12"/>
        <color theme="1"/>
        <rFont val="Tw Cen MT"/>
        <family val="2"/>
      </rPr>
      <t>Écrire un fichier README qui précise l’organisation globale du code et identifie les différentes contributions</t>
    </r>
  </si>
  <si>
    <r>
      <t>·</t>
    </r>
    <r>
      <rPr>
        <sz val="7"/>
        <color theme="1"/>
        <rFont val="Times New Roman"/>
        <family val="1"/>
      </rPr>
      <t xml:space="preserve">      </t>
    </r>
    <r>
      <rPr>
        <sz val="12"/>
        <color theme="1"/>
        <rFont val="Tw Cen MT"/>
        <family val="2"/>
      </rPr>
      <t>Commenter le code et associer un cartouche d’entête à chaque fonctionnalité (rôle, paramètres, développeur, version, …)</t>
    </r>
  </si>
  <si>
    <r>
      <t>·</t>
    </r>
    <r>
      <rPr>
        <sz val="7"/>
        <color theme="1"/>
        <rFont val="Times New Roman"/>
        <family val="1"/>
      </rPr>
      <t xml:space="preserve">      </t>
    </r>
    <r>
      <rPr>
        <sz val="12"/>
        <color theme="1"/>
        <rFont val="Tw Cen MT"/>
        <family val="2"/>
      </rPr>
      <t>Garantir la qualité et la traçabilité du code : auteur, clarté du code, commentaires pertinents, tests unitaires et résultats de tests.</t>
    </r>
  </si>
  <si>
    <t xml:space="preserve">PRÉSENTATION </t>
  </si>
  <si>
    <r>
      <t>·</t>
    </r>
    <r>
      <rPr>
        <sz val="7"/>
        <color theme="1"/>
        <rFont val="Times New Roman"/>
        <family val="1"/>
      </rPr>
      <t xml:space="preserve">      </t>
    </r>
    <r>
      <rPr>
        <sz val="12"/>
        <color theme="1"/>
        <rFont val="Tw Cen MT"/>
        <family val="2"/>
      </rPr>
      <t>Structurer la présentation pour faire ressortir les éléments saillants de votre application en respectant les contraintes (respect du timing, répartition des interventions, …)</t>
    </r>
  </si>
  <si>
    <r>
      <t>·</t>
    </r>
    <r>
      <rPr>
        <sz val="7"/>
        <color theme="1"/>
        <rFont val="Times New Roman"/>
        <family val="1"/>
      </rPr>
      <t xml:space="preserve">      </t>
    </r>
    <r>
      <rPr>
        <sz val="12"/>
        <color theme="1"/>
        <rFont val="Tw Cen MT"/>
        <family val="2"/>
      </rPr>
      <t>Se répartir les interventions de manière équitable en termes de contenu scientifique et technique (hors intro et conclusion, aspect collectif/individuel)</t>
    </r>
  </si>
  <si>
    <r>
      <t>·</t>
    </r>
    <r>
      <rPr>
        <sz val="7"/>
        <color theme="1"/>
        <rFont val="Times New Roman"/>
        <family val="1"/>
      </rPr>
      <t xml:space="preserve">      </t>
    </r>
    <r>
      <rPr>
        <sz val="12"/>
        <color theme="1"/>
        <rFont val="Tw Cen MT"/>
        <family val="2"/>
      </rPr>
      <t>Faire une démonstration scénarisée, de préférence live, qui mette en avant les contributions de chacun et la logique de l’application (des vidéos complémentaires peuvent être réalisées)</t>
    </r>
  </si>
  <si>
    <t>RAPPORT</t>
  </si>
  <si>
    <r>
      <t>·</t>
    </r>
    <r>
      <rPr>
        <sz val="7"/>
        <color theme="1"/>
        <rFont val="Times New Roman"/>
        <family val="1"/>
      </rPr>
      <t xml:space="preserve">      </t>
    </r>
    <r>
      <rPr>
        <sz val="12"/>
        <color theme="1"/>
        <rFont val="Tw Cen MT"/>
        <family val="2"/>
      </rPr>
      <t>Structurer le rapport pour mettre en avant la logique de votre démarche : choix de l’application à développer, analyse du problème, solutions proposées, architecture logicielle mise en place, scénarios de tests, évaluation détaillée, analyse des résultats, bilan global et individuel (objectifs atteints, difficultés rencontrées, évolutions possibles)</t>
    </r>
  </si>
  <si>
    <r>
      <t>·</t>
    </r>
    <r>
      <rPr>
        <sz val="7"/>
        <color theme="1"/>
        <rFont val="Times New Roman"/>
        <family val="1"/>
      </rPr>
      <t xml:space="preserve">      </t>
    </r>
    <r>
      <rPr>
        <sz val="12"/>
        <color theme="1"/>
        <rFont val="Tw Cen MT"/>
        <family val="2"/>
      </rPr>
      <t>Homogénéiser la rédaction du document (un rapport n’est pas un patchwork de bout de contributions sans lien)</t>
    </r>
  </si>
  <si>
    <r>
      <t>·</t>
    </r>
    <r>
      <rPr>
        <sz val="7"/>
        <color theme="1"/>
        <rFont val="Times New Roman"/>
        <family val="1"/>
      </rPr>
      <t xml:space="preserve">      </t>
    </r>
    <r>
      <rPr>
        <sz val="12"/>
        <color theme="1"/>
        <rFont val="Tw Cen MT"/>
        <family val="2"/>
      </rPr>
      <t>Produire un document de qualité s’adressant à un public adapté (vérifier le ton, la phraséologie, …) “on ne s’adresse pas à ses pôtes”</t>
    </r>
  </si>
  <si>
    <r>
      <t>·</t>
    </r>
    <r>
      <rPr>
        <sz val="7"/>
        <color theme="1"/>
        <rFont val="Times New Roman"/>
        <family val="1"/>
      </rPr>
      <t xml:space="preserve">      </t>
    </r>
    <r>
      <rPr>
        <sz val="12"/>
        <color theme="1"/>
        <rFont val="Tw Cen MT"/>
        <family val="2"/>
      </rPr>
      <t>Illustrer vos propos par des schémas ou des captures d’écran référencées et commentées dans le texte</t>
    </r>
  </si>
  <si>
    <r>
      <t>·</t>
    </r>
    <r>
      <rPr>
        <sz val="7"/>
        <color theme="1"/>
        <rFont val="Times New Roman"/>
        <family val="1"/>
      </rPr>
      <t xml:space="preserve">      </t>
    </r>
    <r>
      <rPr>
        <sz val="12"/>
        <color theme="1"/>
        <rFont val="Tw Cen MT"/>
        <family val="2"/>
      </rPr>
      <t>Gérer de manière transparente l’usage des outils d’aide à la rédaction voire à la programmation. Les passages concernés doivent être identifiés ainsi que la source des outils utilisés. Sans ces informations, le document peut être considéré comme du plagiat voire de la fraude (cf Charte du bon usage des IA génératives à l’Université de Toulouse, disponible sur moodle EIURO3C2 : Interaction avancée).</t>
    </r>
  </si>
  <si>
    <t>COMPÉTENCES TRANSVERSES</t>
  </si>
  <si>
    <t>Etre ponctuel et assidu au cours. Excuser/Justifier ses absences</t>
  </si>
  <si>
    <t>Comprendre le rôle des actes de dialogue</t>
  </si>
  <si>
    <t>Comprendre ce que contient l'historique</t>
  </si>
  <si>
    <t xml:space="preserve">Identifier clairement chaque acte de dialogue </t>
  </si>
  <si>
    <t>Justifier clairement le rôle et les paramètres</t>
  </si>
  <si>
    <t>Présenter clairement et lisiblement le contenu de l'historique</t>
  </si>
  <si>
    <t>RÉSOLUTION DE RÉFÉRENCE</t>
  </si>
  <si>
    <t>Comprendre et expliquer la question de la résolution de référence</t>
  </si>
  <si>
    <t>Identifier et justifier les cas nécessitant de résoudre cette question</t>
  </si>
  <si>
    <t>Expliquer de manière claire comment cela est résolu pour les cas identifiés</t>
  </si>
  <si>
    <t>CHATBOT et COMPRÉHENSION</t>
  </si>
  <si>
    <t>Comprendre et expliquer le mécanisme de classification d'intention</t>
  </si>
  <si>
    <t>Comprendre et expliquer le mécanisme d'extraction d'Entités</t>
  </si>
  <si>
    <t>Identifier et modéliser les intentions</t>
  </si>
  <si>
    <t>Définir les solts nécessaires à l'application</t>
  </si>
  <si>
    <t>Identifier et modéliser les entités</t>
  </si>
  <si>
    <t>Identifier et modéliser les réponses du système</t>
  </si>
  <si>
    <t xml:space="preserve">Identifier et justifier le rôle des actions personnalisées nécessaires </t>
  </si>
  <si>
    <t>EVALUATION DU CHATBOT</t>
  </si>
  <si>
    <t>Comprendre et expliquer le rôle d'une matrice de confusion</t>
  </si>
  <si>
    <t xml:space="preserve">Calculer le taux global de bonne classification </t>
  </si>
  <si>
    <t>Calculer la précision et le rappel relatif à un type d'intention</t>
  </si>
  <si>
    <t xml:space="preserve">EVALUATION EN COMPÉTENCES - AGENTS CONVERSATIONNELS </t>
  </si>
  <si>
    <t>Lire, comprendre le sujet. Faire clarifier ou poser les conditions/hypothèses si nécessaire</t>
  </si>
  <si>
    <t>0,1,2</t>
  </si>
  <si>
    <t>Identifier les situations de confirmations implicites</t>
  </si>
  <si>
    <t>POIDS = Non acquis (=0) ; entre deux (=0,5) en cours d'acquisition (=1) ; entre deux (=1,5) ; Acquis (=2) ; Au-delà ( = 2,5)</t>
  </si>
  <si>
    <t>Compétences Contrôle continu Algo-Python</t>
  </si>
  <si>
    <t xml:space="preserve">     - Appel du sous-programme</t>
  </si>
  <si>
    <t xml:space="preserve">** des pénalités peuvent être appliquée en cas d'abus, d'absence de méthodologie claire, de rendu non commenté et non structuré, d'absences non justifiées trop nombreuses aux enseignements </t>
  </si>
  <si>
    <t>Justifier les choix des méthodes de classification supervisée (choix de la méthode et des (hyper)paramètres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</si>
</sst>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b/>
      <sz val="12"/>
      <color theme="1"/>
      <name val="Calibri"/>
      <family val="2"/>
      <scheme val="minor"/>
    </font>
    <font>
      <sz val="12"/>
      <color theme="0"/>
      <name val="Calibri"/>
      <family val="2"/>
      <scheme val="minor"/>
    </font>
    <font>
      <sz val="12"/>
      <color theme="5"/>
      <name val="Calibri"/>
      <family val="2"/>
      <scheme val="minor"/>
    </font>
    <font>
      <b/>
      <sz val="12"/>
      <color theme="5"/>
      <name val="Calibri"/>
      <family val="2"/>
      <scheme val="minor"/>
    </font>
    <font>
      <sz val="12"/>
      <color rgb="FF00B050"/>
      <name val="Calibri"/>
      <family val="2"/>
      <scheme val="minor"/>
    </font>
    <font>
      <i/>
      <sz val="11"/>
      <color indexed="23"/>
      <name val="Calibri"/>
      <family val="2"/>
    </font>
    <font>
      <b/>
      <sz val="12"/>
      <color rgb="FFC00000"/>
      <name val="Calibri"/>
      <family val="2"/>
      <scheme val="minor"/>
    </font>
    <font>
      <b/>
      <sz val="12"/>
      <color rgb="FFC00000"/>
      <name val="Calibri (Corps)"/>
    </font>
    <font>
      <sz val="12"/>
      <color theme="1"/>
      <name val="Tw Cen MT"/>
      <family val="2"/>
    </font>
    <font>
      <b/>
      <sz val="12"/>
      <color theme="1"/>
      <name val="Tw Cen MT"/>
      <family val="2"/>
    </font>
    <font>
      <sz val="12"/>
      <color theme="1"/>
      <name val="Symbol"/>
      <charset val="2"/>
    </font>
    <font>
      <sz val="7"/>
      <color theme="1"/>
      <name val="Times New Roman"/>
      <family val="1"/>
    </font>
    <font>
      <b/>
      <sz val="12"/>
      <color rgb="FF00B050"/>
      <name val="Tw Cen MT"/>
      <family val="2"/>
    </font>
    <font>
      <b/>
      <sz val="12"/>
      <color rgb="FFFFC000"/>
      <name val="Tw Cen MT"/>
      <family val="2"/>
    </font>
    <font>
      <b/>
      <sz val="12"/>
      <color rgb="FFC00000"/>
      <name val="Tw Cen MT"/>
      <family val="2"/>
    </font>
    <font>
      <sz val="12"/>
      <color rgb="FFC00000"/>
      <name val="Tw Cen MT"/>
      <family val="2"/>
    </font>
    <font>
      <b/>
      <sz val="12"/>
      <color rgb="FF92D050"/>
      <name val="Tw Cen MT"/>
      <family val="2"/>
    </font>
    <font>
      <sz val="12"/>
      <color rgb="FF00B050"/>
      <name val="Tw Cen MT"/>
      <family val="2"/>
    </font>
    <font>
      <b/>
      <sz val="5"/>
      <color theme="1"/>
      <name val="Tw Cen MT"/>
      <family val="2"/>
    </font>
  </fonts>
  <fills count="9">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rgb="FFC00000"/>
        <bgColor indexed="64"/>
      </patternFill>
    </fill>
    <fill>
      <patternFill patternType="solid">
        <fgColor theme="5" tint="0.39997558519241921"/>
        <bgColor indexed="64"/>
      </patternFill>
    </fill>
    <fill>
      <patternFill patternType="solid">
        <fgColor theme="5" tint="-0.249977111117893"/>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0" fillId="2" borderId="0" xfId="0" applyFill="1"/>
    <xf numFmtId="0" fontId="1" fillId="2" borderId="0" xfId="0" applyFont="1" applyFill="1"/>
    <xf numFmtId="0" fontId="1" fillId="0" borderId="0" xfId="0" applyFont="1"/>
    <xf numFmtId="0" fontId="0" fillId="3" borderId="0" xfId="0" applyFill="1"/>
    <xf numFmtId="0" fontId="0" fillId="4" borderId="0" xfId="0" applyFill="1"/>
    <xf numFmtId="0" fontId="1" fillId="3" borderId="0" xfId="0" applyFont="1" applyFill="1"/>
    <xf numFmtId="0" fontId="1" fillId="4" borderId="0" xfId="0" applyFont="1" applyFill="1"/>
    <xf numFmtId="0" fontId="3" fillId="0" borderId="0" xfId="0" applyFont="1"/>
    <xf numFmtId="0" fontId="4" fillId="0" borderId="0" xfId="0" applyFont="1"/>
    <xf numFmtId="0" fontId="5" fillId="0" borderId="0" xfId="0" applyFont="1"/>
    <xf numFmtId="2" fontId="0" fillId="0" borderId="0" xfId="0" applyNumberFormat="1"/>
    <xf numFmtId="0" fontId="0" fillId="0" borderId="0" xfId="0" applyAlignment="1">
      <alignment wrapText="1"/>
    </xf>
    <xf numFmtId="0" fontId="5" fillId="0" borderId="0" xfId="0" applyFont="1" applyAlignment="1">
      <alignment wrapText="1"/>
    </xf>
    <xf numFmtId="0" fontId="2" fillId="5" borderId="0" xfId="0" applyFont="1" applyFill="1"/>
    <xf numFmtId="0" fontId="1" fillId="5" borderId="0" xfId="0" applyFont="1" applyFill="1"/>
    <xf numFmtId="0" fontId="7" fillId="0" borderId="0" xfId="0" applyFont="1"/>
    <xf numFmtId="0" fontId="0" fillId="2" borderId="0" xfId="0" applyFill="1" applyAlignment="1">
      <alignment wrapText="1"/>
    </xf>
    <xf numFmtId="0" fontId="3" fillId="0" borderId="0" xfId="0" applyFont="1" applyAlignment="1">
      <alignment wrapText="1"/>
    </xf>
    <xf numFmtId="0" fontId="2" fillId="5" borderId="0" xfId="0" applyFont="1" applyFill="1" applyAlignment="1">
      <alignment wrapText="1"/>
    </xf>
    <xf numFmtId="0" fontId="0" fillId="6" borderId="0" xfId="0" applyFill="1"/>
    <xf numFmtId="0" fontId="0" fillId="4" borderId="0" xfId="0" applyFill="1" applyAlignment="1">
      <alignment wrapText="1"/>
    </xf>
    <xf numFmtId="0" fontId="7" fillId="0" borderId="0" xfId="0" applyFont="1" applyAlignment="1">
      <alignment wrapText="1"/>
    </xf>
    <xf numFmtId="0" fontId="8" fillId="0" borderId="0" xfId="0" applyFont="1"/>
    <xf numFmtId="0" fontId="10" fillId="0" borderId="0" xfId="0" applyFont="1" applyAlignment="1">
      <alignment horizontal="center" vertical="center"/>
    </xf>
    <xf numFmtId="0" fontId="9" fillId="0" borderId="0" xfId="0" applyFont="1" applyAlignment="1">
      <alignment horizontal="justify" vertical="center"/>
    </xf>
    <xf numFmtId="0" fontId="11" fillId="0" borderId="0" xfId="0" applyFont="1" applyAlignment="1">
      <alignment horizontal="justify" vertical="center"/>
    </xf>
    <xf numFmtId="0" fontId="19" fillId="0" borderId="0" xfId="0" applyFont="1" applyAlignment="1">
      <alignment horizontal="justify" vertical="center"/>
    </xf>
    <xf numFmtId="0" fontId="10" fillId="0" borderId="0" xfId="0" applyFont="1" applyAlignment="1">
      <alignment horizontal="justify" vertical="center"/>
    </xf>
    <xf numFmtId="0" fontId="10" fillId="3" borderId="0" xfId="0" applyFont="1" applyFill="1" applyAlignment="1">
      <alignment horizontal="justify" vertical="center"/>
    </xf>
    <xf numFmtId="0" fontId="0" fillId="0" borderId="0" xfId="0" applyAlignment="1">
      <alignment horizontal="center" wrapText="1"/>
    </xf>
    <xf numFmtId="0" fontId="0" fillId="7" borderId="0" xfId="0" applyFill="1" applyAlignment="1">
      <alignment wrapText="1"/>
    </xf>
    <xf numFmtId="0" fontId="2" fillId="0" borderId="0" xfId="0" applyFont="1"/>
    <xf numFmtId="0" fontId="2" fillId="8" borderId="0" xfId="0" applyFont="1" applyFill="1" applyAlignment="1">
      <alignment wrapText="1"/>
    </xf>
    <xf numFmtId="9" fontId="0" fillId="0" borderId="0" xfId="0" applyNumberFormat="1"/>
  </cellXfs>
  <cellStyles count="2">
    <cellStyle name="Excel_BuiltIn_Texte explicatif 1" xfId="1" xr:uid="{74B51D43-D6B5-6F47-91D7-AEA4DB3D1ACB}"/>
    <cellStyle name="Normal" xfId="0" builtinId="0"/>
  </cellStyles>
  <dxfs count="54">
    <dxf>
      <fill>
        <patternFill>
          <bgColor rgb="FFC00000"/>
        </patternFill>
      </fill>
    </dxf>
    <dxf>
      <fill>
        <patternFill>
          <bgColor rgb="FFFFC000"/>
        </patternFill>
      </fill>
    </dxf>
    <dxf>
      <fill>
        <patternFill>
          <bgColor rgb="FF00B05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FFC000"/>
        </patternFill>
      </fill>
    </dxf>
    <dxf>
      <fill>
        <patternFill>
          <bgColor rgb="FFC0000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00B050"/>
        </patternFill>
      </fill>
    </dxf>
    <dxf>
      <fill>
        <patternFill>
          <bgColor rgb="FFC00000"/>
        </patternFill>
      </fill>
    </dxf>
    <dxf>
      <fill>
        <patternFill>
          <bgColor rgb="FF00B050"/>
        </patternFill>
      </fill>
    </dxf>
    <dxf>
      <fill>
        <patternFill>
          <bgColor rgb="FFC0000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C00000"/>
        </patternFill>
      </fill>
    </dxf>
    <dxf>
      <fill>
        <patternFill>
          <bgColor rgb="FFFFC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5511800</xdr:colOff>
      <xdr:row>4</xdr:row>
      <xdr:rowOff>12699</xdr:rowOff>
    </xdr:from>
    <xdr:to>
      <xdr:col>0</xdr:col>
      <xdr:colOff>7264400</xdr:colOff>
      <xdr:row>6</xdr:row>
      <xdr:rowOff>31092</xdr:rowOff>
    </xdr:to>
    <xdr:pic>
      <xdr:nvPicPr>
        <xdr:cNvPr id="2" name="Image 2" descr="De Heureux Smiley Vert Stock Illustrations, Vecteurs, &amp; Clipart – (5,853  Stock Illustrations)">
          <a:extLst>
            <a:ext uri="{FF2B5EF4-FFF2-40B4-BE49-F238E27FC236}">
              <a16:creationId xmlns:a16="http://schemas.microsoft.com/office/drawing/2014/main" id="{B886DA74-2FEC-FF74-560E-7CA4853F27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5511800" y="1536699"/>
          <a:ext cx="1752600" cy="78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8B74-32C8-A943-B97D-C98EFD2C4320}">
  <sheetPr>
    <pageSetUpPr fitToPage="1"/>
  </sheetPr>
  <dimension ref="A2:AE69"/>
  <sheetViews>
    <sheetView zoomScale="106" zoomScaleNormal="179" workbookViewId="0">
      <selection activeCell="A4" sqref="A4"/>
    </sheetView>
  </sheetViews>
  <sheetFormatPr baseColWidth="10" defaultRowHeight="16" x14ac:dyDescent="0.2"/>
  <cols>
    <col min="1" max="1" width="72.6640625" customWidth="1"/>
    <col min="2" max="2" width="8" customWidth="1"/>
    <col min="6" max="6" width="10.83203125" style="12"/>
    <col min="25" max="25" width="8" customWidth="1"/>
    <col min="26" max="26" width="72.6640625" customWidth="1"/>
    <col min="30" max="30" width="15.83203125" customWidth="1"/>
    <col min="31" max="31" width="72.6640625" customWidth="1"/>
  </cols>
  <sheetData>
    <row r="2" spans="1:31" ht="34" x14ac:dyDescent="0.2">
      <c r="A2" s="23" t="s">
        <v>131</v>
      </c>
      <c r="B2" t="s">
        <v>0</v>
      </c>
      <c r="C2" t="s">
        <v>37</v>
      </c>
      <c r="D2" t="s">
        <v>88</v>
      </c>
      <c r="E2" t="s">
        <v>38</v>
      </c>
      <c r="F2" s="12" t="s">
        <v>89</v>
      </c>
      <c r="G2" t="s">
        <v>41</v>
      </c>
      <c r="H2" t="s">
        <v>42</v>
      </c>
      <c r="I2" s="12" t="s">
        <v>43</v>
      </c>
      <c r="J2" t="s">
        <v>90</v>
      </c>
      <c r="K2" t="s">
        <v>91</v>
      </c>
      <c r="L2" t="s">
        <v>44</v>
      </c>
      <c r="M2" t="s">
        <v>45</v>
      </c>
      <c r="N2" t="s">
        <v>39</v>
      </c>
      <c r="O2" t="s">
        <v>87</v>
      </c>
      <c r="P2" s="12" t="s">
        <v>46</v>
      </c>
      <c r="Q2" t="s">
        <v>47</v>
      </c>
      <c r="R2" t="s">
        <v>48</v>
      </c>
      <c r="S2" t="s">
        <v>40</v>
      </c>
      <c r="T2" t="s">
        <v>92</v>
      </c>
      <c r="U2" t="s">
        <v>49</v>
      </c>
      <c r="V2" t="s">
        <v>50</v>
      </c>
      <c r="W2" t="s">
        <v>93</v>
      </c>
      <c r="X2" t="s">
        <v>94</v>
      </c>
      <c r="Y2" t="s">
        <v>0</v>
      </c>
      <c r="Z2" t="s">
        <v>2</v>
      </c>
      <c r="AD2" t="s">
        <v>0</v>
      </c>
      <c r="AE2" t="s">
        <v>2</v>
      </c>
    </row>
    <row r="3" spans="1:31" x14ac:dyDescent="0.2">
      <c r="A3" s="23"/>
      <c r="I3" s="12"/>
      <c r="P3" s="12"/>
    </row>
    <row r="4" spans="1:31" x14ac:dyDescent="0.2">
      <c r="A4" s="2" t="s">
        <v>136</v>
      </c>
      <c r="B4" s="1"/>
      <c r="C4" s="1"/>
      <c r="D4" s="1"/>
      <c r="E4" s="1"/>
      <c r="F4" s="17"/>
      <c r="G4" s="1"/>
      <c r="Y4" s="1"/>
      <c r="Z4" s="2" t="s">
        <v>55</v>
      </c>
      <c r="AD4" s="1"/>
      <c r="AE4" s="2" t="s">
        <v>3</v>
      </c>
    </row>
    <row r="5" spans="1:31" x14ac:dyDescent="0.2">
      <c r="A5" t="s">
        <v>56</v>
      </c>
      <c r="B5">
        <v>1.5</v>
      </c>
      <c r="C5">
        <v>1</v>
      </c>
      <c r="D5">
        <v>0.75</v>
      </c>
      <c r="E5">
        <v>1</v>
      </c>
      <c r="F5" s="12">
        <v>1</v>
      </c>
      <c r="G5">
        <v>1</v>
      </c>
      <c r="H5">
        <v>1.25</v>
      </c>
      <c r="I5">
        <v>1</v>
      </c>
      <c r="J5">
        <v>1.25</v>
      </c>
      <c r="K5">
        <v>1.25</v>
      </c>
      <c r="L5">
        <v>1</v>
      </c>
      <c r="M5">
        <v>1</v>
      </c>
      <c r="N5">
        <v>0.5</v>
      </c>
      <c r="O5">
        <v>1</v>
      </c>
      <c r="P5">
        <v>0.75</v>
      </c>
      <c r="Q5">
        <v>1.25</v>
      </c>
      <c r="R5">
        <v>1.5</v>
      </c>
      <c r="S5">
        <v>0.75</v>
      </c>
      <c r="T5">
        <v>0.75</v>
      </c>
      <c r="U5">
        <v>0.75</v>
      </c>
      <c r="V5">
        <v>1.25</v>
      </c>
      <c r="W5">
        <v>1.25</v>
      </c>
      <c r="X5">
        <v>1.5</v>
      </c>
      <c r="Y5">
        <v>1.5</v>
      </c>
      <c r="Z5" t="s">
        <v>56</v>
      </c>
      <c r="AD5">
        <v>1</v>
      </c>
      <c r="AE5" t="s">
        <v>1</v>
      </c>
    </row>
    <row r="6" spans="1:31" x14ac:dyDescent="0.2">
      <c r="A6" t="s">
        <v>105</v>
      </c>
      <c r="B6">
        <v>1.5</v>
      </c>
      <c r="C6">
        <v>1</v>
      </c>
      <c r="D6">
        <v>0.75</v>
      </c>
      <c r="E6">
        <v>1.25</v>
      </c>
      <c r="F6" s="12">
        <v>1</v>
      </c>
      <c r="G6">
        <v>1</v>
      </c>
      <c r="H6">
        <v>1</v>
      </c>
      <c r="I6">
        <v>0.75</v>
      </c>
      <c r="J6">
        <v>1.25</v>
      </c>
      <c r="K6">
        <v>1.5</v>
      </c>
      <c r="L6">
        <v>0.5</v>
      </c>
      <c r="M6">
        <v>1.25</v>
      </c>
      <c r="N6">
        <v>0.5</v>
      </c>
      <c r="O6">
        <v>1</v>
      </c>
      <c r="P6">
        <v>0.75</v>
      </c>
      <c r="Q6">
        <v>1.25</v>
      </c>
      <c r="R6">
        <v>1.25</v>
      </c>
      <c r="S6">
        <v>0.75</v>
      </c>
      <c r="T6">
        <v>0.75</v>
      </c>
      <c r="U6">
        <v>0.5</v>
      </c>
      <c r="V6">
        <v>1.25</v>
      </c>
      <c r="W6">
        <v>1.5</v>
      </c>
      <c r="X6">
        <v>1.5</v>
      </c>
      <c r="Y6">
        <v>1.5</v>
      </c>
      <c r="Z6" t="s">
        <v>67</v>
      </c>
      <c r="AD6">
        <v>1</v>
      </c>
      <c r="AE6" t="s">
        <v>5</v>
      </c>
    </row>
    <row r="7" spans="1:31" x14ac:dyDescent="0.2">
      <c r="B7">
        <f xml:space="preserve"> B5 + B6</f>
        <v>3</v>
      </c>
      <c r="C7">
        <f t="shared" ref="C7:X7" si="0" xml:space="preserve"> C5 + C6</f>
        <v>2</v>
      </c>
      <c r="D7">
        <f t="shared" si="0"/>
        <v>1.5</v>
      </c>
      <c r="E7">
        <f t="shared" si="0"/>
        <v>2.25</v>
      </c>
      <c r="F7">
        <f t="shared" si="0"/>
        <v>2</v>
      </c>
      <c r="G7">
        <f t="shared" si="0"/>
        <v>2</v>
      </c>
      <c r="H7">
        <f t="shared" si="0"/>
        <v>2.25</v>
      </c>
      <c r="I7">
        <f t="shared" si="0"/>
        <v>1.75</v>
      </c>
      <c r="J7">
        <f t="shared" si="0"/>
        <v>2.5</v>
      </c>
      <c r="K7">
        <f t="shared" si="0"/>
        <v>2.75</v>
      </c>
      <c r="L7">
        <f t="shared" si="0"/>
        <v>1.5</v>
      </c>
      <c r="M7">
        <f t="shared" si="0"/>
        <v>2.25</v>
      </c>
      <c r="N7" s="20">
        <f t="shared" si="0"/>
        <v>1</v>
      </c>
      <c r="O7">
        <f t="shared" si="0"/>
        <v>2</v>
      </c>
      <c r="P7">
        <f t="shared" si="0"/>
        <v>1.5</v>
      </c>
      <c r="Q7">
        <f t="shared" si="0"/>
        <v>2.5</v>
      </c>
      <c r="R7">
        <f t="shared" si="0"/>
        <v>2.75</v>
      </c>
      <c r="S7">
        <f t="shared" si="0"/>
        <v>1.5</v>
      </c>
      <c r="T7">
        <f t="shared" si="0"/>
        <v>1.5</v>
      </c>
      <c r="U7">
        <f t="shared" si="0"/>
        <v>1.25</v>
      </c>
      <c r="V7">
        <f t="shared" si="0"/>
        <v>2.5</v>
      </c>
      <c r="W7">
        <f t="shared" si="0"/>
        <v>2.75</v>
      </c>
      <c r="X7">
        <f t="shared" si="0"/>
        <v>3</v>
      </c>
      <c r="Y7">
        <f xml:space="preserve"> Y5 + Y6</f>
        <v>3</v>
      </c>
    </row>
    <row r="8" spans="1:31" x14ac:dyDescent="0.2">
      <c r="B8" s="10"/>
      <c r="C8" s="10"/>
      <c r="D8" s="10"/>
      <c r="E8" s="10"/>
      <c r="F8" s="10"/>
      <c r="G8" s="10"/>
      <c r="H8" s="10"/>
      <c r="I8" s="10"/>
      <c r="J8" s="10"/>
      <c r="K8" s="10"/>
      <c r="L8" s="10"/>
      <c r="M8" s="10"/>
      <c r="N8" s="10"/>
      <c r="O8" s="10"/>
      <c r="P8" s="10"/>
      <c r="Q8" s="10"/>
      <c r="R8" s="10"/>
      <c r="S8" s="10"/>
      <c r="T8" s="10"/>
      <c r="U8" s="10"/>
      <c r="V8" s="10"/>
      <c r="W8" s="10"/>
      <c r="X8" s="10"/>
      <c r="Y8" s="10"/>
    </row>
    <row r="9" spans="1:31" x14ac:dyDescent="0.2">
      <c r="A9" t="s">
        <v>68</v>
      </c>
      <c r="B9">
        <v>1.5</v>
      </c>
      <c r="C9">
        <v>1.25</v>
      </c>
      <c r="D9">
        <v>1.25</v>
      </c>
      <c r="E9">
        <v>1.25</v>
      </c>
      <c r="F9">
        <v>1.25</v>
      </c>
      <c r="G9">
        <v>1.25</v>
      </c>
      <c r="H9">
        <v>1.25</v>
      </c>
      <c r="I9">
        <v>1</v>
      </c>
      <c r="J9">
        <v>1</v>
      </c>
      <c r="K9">
        <v>0.75</v>
      </c>
      <c r="L9">
        <v>0.75</v>
      </c>
      <c r="M9">
        <v>1.25</v>
      </c>
      <c r="N9">
        <v>1.5</v>
      </c>
      <c r="O9">
        <v>1</v>
      </c>
      <c r="P9">
        <v>1</v>
      </c>
      <c r="Q9">
        <v>1</v>
      </c>
      <c r="R9">
        <v>1.25</v>
      </c>
      <c r="S9">
        <v>0.75</v>
      </c>
      <c r="T9">
        <v>1</v>
      </c>
      <c r="U9">
        <v>1</v>
      </c>
      <c r="V9">
        <v>1.25</v>
      </c>
      <c r="W9">
        <v>1</v>
      </c>
      <c r="X9">
        <v>1</v>
      </c>
      <c r="Y9">
        <v>1.5</v>
      </c>
      <c r="Z9" t="s">
        <v>68</v>
      </c>
      <c r="AD9" s="4"/>
      <c r="AE9" s="6" t="s">
        <v>4</v>
      </c>
    </row>
    <row r="10" spans="1:31" x14ac:dyDescent="0.2">
      <c r="A10" t="s">
        <v>69</v>
      </c>
      <c r="B10">
        <v>0.5</v>
      </c>
      <c r="C10">
        <v>0.25</v>
      </c>
      <c r="D10">
        <v>0.5</v>
      </c>
      <c r="E10">
        <v>0.5</v>
      </c>
      <c r="F10">
        <v>0.25</v>
      </c>
      <c r="G10">
        <v>0.5</v>
      </c>
      <c r="H10">
        <v>0.25</v>
      </c>
      <c r="I10">
        <v>0.5</v>
      </c>
      <c r="J10">
        <v>0.25</v>
      </c>
      <c r="K10">
        <v>0.25</v>
      </c>
      <c r="L10">
        <v>0.25</v>
      </c>
      <c r="M10">
        <v>0.5</v>
      </c>
      <c r="N10">
        <v>0.25</v>
      </c>
      <c r="O10">
        <v>0.25</v>
      </c>
      <c r="P10">
        <v>0.25</v>
      </c>
      <c r="Q10">
        <v>0.25</v>
      </c>
      <c r="R10">
        <v>0</v>
      </c>
      <c r="S10">
        <v>0.25</v>
      </c>
      <c r="T10">
        <v>0.5</v>
      </c>
      <c r="U10">
        <v>0</v>
      </c>
      <c r="V10">
        <v>0.5</v>
      </c>
      <c r="W10">
        <v>0.25</v>
      </c>
      <c r="X10">
        <v>0.25</v>
      </c>
      <c r="Y10">
        <v>0.5</v>
      </c>
      <c r="Z10" t="s">
        <v>69</v>
      </c>
      <c r="AE10" s="9" t="s">
        <v>6</v>
      </c>
    </row>
    <row r="11" spans="1:31" x14ac:dyDescent="0.2">
      <c r="B11">
        <f xml:space="preserve"> SUM(B9:B10)</f>
        <v>2</v>
      </c>
      <c r="C11">
        <f t="shared" ref="C11:Y11" si="1" xml:space="preserve"> SUM(C9:C10)</f>
        <v>1.5</v>
      </c>
      <c r="D11">
        <f t="shared" si="1"/>
        <v>1.75</v>
      </c>
      <c r="E11">
        <f t="shared" si="1"/>
        <v>1.75</v>
      </c>
      <c r="F11">
        <f xml:space="preserve"> SUM(G9:G10)</f>
        <v>1.75</v>
      </c>
      <c r="G11">
        <f t="shared" si="1"/>
        <v>1.75</v>
      </c>
      <c r="H11">
        <f t="shared" si="1"/>
        <v>1.5</v>
      </c>
      <c r="I11">
        <f t="shared" si="1"/>
        <v>1.5</v>
      </c>
      <c r="J11">
        <f t="shared" si="1"/>
        <v>1.25</v>
      </c>
      <c r="K11">
        <f t="shared" si="1"/>
        <v>1</v>
      </c>
      <c r="L11">
        <f t="shared" si="1"/>
        <v>1</v>
      </c>
      <c r="M11">
        <f t="shared" si="1"/>
        <v>1.75</v>
      </c>
      <c r="N11">
        <f t="shared" si="1"/>
        <v>1.75</v>
      </c>
      <c r="O11">
        <f t="shared" si="1"/>
        <v>1.25</v>
      </c>
      <c r="P11">
        <f t="shared" si="1"/>
        <v>1.25</v>
      </c>
      <c r="Q11">
        <f t="shared" si="1"/>
        <v>1.25</v>
      </c>
      <c r="R11">
        <f t="shared" si="1"/>
        <v>1.25</v>
      </c>
      <c r="S11">
        <f t="shared" si="1"/>
        <v>1</v>
      </c>
      <c r="T11">
        <f t="shared" si="1"/>
        <v>1.5</v>
      </c>
      <c r="U11">
        <f t="shared" si="1"/>
        <v>1</v>
      </c>
      <c r="V11">
        <f t="shared" si="1"/>
        <v>1.75</v>
      </c>
      <c r="W11">
        <f t="shared" si="1"/>
        <v>1.25</v>
      </c>
      <c r="X11">
        <f t="shared" si="1"/>
        <v>1.25</v>
      </c>
      <c r="Y11">
        <f t="shared" si="1"/>
        <v>2</v>
      </c>
      <c r="AD11">
        <v>0.5</v>
      </c>
      <c r="AE11" t="s">
        <v>8</v>
      </c>
    </row>
    <row r="12" spans="1:31" x14ac:dyDescent="0.2">
      <c r="AD12">
        <v>2</v>
      </c>
      <c r="AE12" t="s">
        <v>9</v>
      </c>
    </row>
    <row r="13" spans="1:31" x14ac:dyDescent="0.2">
      <c r="A13" t="s">
        <v>70</v>
      </c>
      <c r="B13">
        <v>0.75</v>
      </c>
      <c r="C13">
        <v>0.75</v>
      </c>
      <c r="D13">
        <v>0.5</v>
      </c>
      <c r="E13">
        <v>0.25</v>
      </c>
      <c r="F13" s="12">
        <v>0.5</v>
      </c>
      <c r="G13">
        <v>0.5</v>
      </c>
      <c r="H13">
        <v>0.25</v>
      </c>
      <c r="I13">
        <v>0.5</v>
      </c>
      <c r="J13">
        <v>0.25</v>
      </c>
      <c r="K13">
        <v>0.75</v>
      </c>
      <c r="L13">
        <v>0.25</v>
      </c>
      <c r="M13">
        <v>0.5</v>
      </c>
      <c r="N13">
        <v>0.75</v>
      </c>
      <c r="O13">
        <v>0.5</v>
      </c>
      <c r="P13">
        <v>0.25</v>
      </c>
      <c r="Q13">
        <v>0.5</v>
      </c>
      <c r="R13">
        <v>0.5</v>
      </c>
      <c r="S13">
        <v>0.75</v>
      </c>
      <c r="T13">
        <v>0.25</v>
      </c>
      <c r="U13">
        <v>0.75</v>
      </c>
      <c r="V13">
        <v>0.75</v>
      </c>
      <c r="W13">
        <v>0.25</v>
      </c>
      <c r="X13">
        <v>0.75</v>
      </c>
      <c r="Y13">
        <v>0.75</v>
      </c>
      <c r="Z13" t="s">
        <v>70</v>
      </c>
      <c r="AD13">
        <v>1.5</v>
      </c>
      <c r="AE13" t="s">
        <v>10</v>
      </c>
    </row>
    <row r="14" spans="1:31" x14ac:dyDescent="0.2">
      <c r="A14" t="s">
        <v>71</v>
      </c>
      <c r="B14">
        <v>0.75</v>
      </c>
      <c r="C14">
        <v>0.5</v>
      </c>
      <c r="D14">
        <v>0.75</v>
      </c>
      <c r="E14">
        <v>0.25</v>
      </c>
      <c r="F14" s="12">
        <v>0.75</v>
      </c>
      <c r="G14">
        <v>0.25</v>
      </c>
      <c r="H14">
        <v>0.25</v>
      </c>
      <c r="I14">
        <v>0.5</v>
      </c>
      <c r="J14">
        <v>0.25</v>
      </c>
      <c r="K14">
        <v>0.75</v>
      </c>
      <c r="L14">
        <v>0.25</v>
      </c>
      <c r="M14">
        <v>0.75</v>
      </c>
      <c r="N14">
        <v>0.75</v>
      </c>
      <c r="O14">
        <v>0.5</v>
      </c>
      <c r="P14">
        <v>0</v>
      </c>
      <c r="Q14">
        <v>0.25</v>
      </c>
      <c r="R14">
        <v>0.5</v>
      </c>
      <c r="S14">
        <v>0.75</v>
      </c>
      <c r="T14">
        <v>0.25</v>
      </c>
      <c r="U14">
        <v>0.75</v>
      </c>
      <c r="V14">
        <v>0.5</v>
      </c>
      <c r="W14">
        <v>0</v>
      </c>
      <c r="X14">
        <v>0.75</v>
      </c>
      <c r="Y14">
        <v>0.75</v>
      </c>
      <c r="Z14" t="s">
        <v>71</v>
      </c>
      <c r="AD14">
        <f xml:space="preserve"> SUM(AD11:AD13)</f>
        <v>4</v>
      </c>
    </row>
    <row r="15" spans="1:31" x14ac:dyDescent="0.2">
      <c r="B15">
        <f xml:space="preserve"> SUM(B13:B14)</f>
        <v>1.5</v>
      </c>
      <c r="C15">
        <f t="shared" ref="C15:Y15" si="2" xml:space="preserve"> SUM(C13:C14)</f>
        <v>1.25</v>
      </c>
      <c r="D15">
        <f t="shared" si="2"/>
        <v>1.25</v>
      </c>
      <c r="E15">
        <f t="shared" si="2"/>
        <v>0.5</v>
      </c>
      <c r="F15">
        <f t="shared" si="2"/>
        <v>1.25</v>
      </c>
      <c r="G15">
        <f t="shared" si="2"/>
        <v>0.75</v>
      </c>
      <c r="H15">
        <f t="shared" si="2"/>
        <v>0.5</v>
      </c>
      <c r="I15">
        <f t="shared" si="2"/>
        <v>1</v>
      </c>
      <c r="J15">
        <f t="shared" si="2"/>
        <v>0.5</v>
      </c>
      <c r="K15">
        <f t="shared" si="2"/>
        <v>1.5</v>
      </c>
      <c r="L15">
        <f t="shared" si="2"/>
        <v>0.5</v>
      </c>
      <c r="M15">
        <f t="shared" si="2"/>
        <v>1.25</v>
      </c>
      <c r="N15">
        <f t="shared" si="2"/>
        <v>1.5</v>
      </c>
      <c r="O15">
        <f t="shared" si="2"/>
        <v>1</v>
      </c>
      <c r="P15">
        <f t="shared" si="2"/>
        <v>0.25</v>
      </c>
      <c r="Q15">
        <f t="shared" si="2"/>
        <v>0.75</v>
      </c>
      <c r="R15">
        <f t="shared" si="2"/>
        <v>1</v>
      </c>
      <c r="S15">
        <f t="shared" si="2"/>
        <v>1.5</v>
      </c>
      <c r="T15">
        <f t="shared" si="2"/>
        <v>0.5</v>
      </c>
      <c r="U15">
        <f t="shared" si="2"/>
        <v>1.5</v>
      </c>
      <c r="V15">
        <f t="shared" si="2"/>
        <v>1.25</v>
      </c>
      <c r="W15">
        <f t="shared" si="2"/>
        <v>0.25</v>
      </c>
      <c r="X15">
        <f t="shared" si="2"/>
        <v>1.5</v>
      </c>
      <c r="Y15">
        <f t="shared" si="2"/>
        <v>1.5</v>
      </c>
      <c r="AE15" s="9" t="s">
        <v>20</v>
      </c>
    </row>
    <row r="16" spans="1:31" x14ac:dyDescent="0.2">
      <c r="AE16" s="9"/>
    </row>
    <row r="17" spans="1:31" x14ac:dyDescent="0.2">
      <c r="A17" t="s">
        <v>72</v>
      </c>
      <c r="B17">
        <v>0.75</v>
      </c>
      <c r="C17">
        <v>0.5</v>
      </c>
      <c r="D17">
        <v>0.5</v>
      </c>
      <c r="E17">
        <v>0.75</v>
      </c>
      <c r="F17" s="12">
        <v>0.5</v>
      </c>
      <c r="G17">
        <v>0.75</v>
      </c>
      <c r="H17" s="12">
        <v>0.75</v>
      </c>
      <c r="I17">
        <v>0.75</v>
      </c>
      <c r="J17" s="12">
        <v>0.5</v>
      </c>
      <c r="K17">
        <v>0.5</v>
      </c>
      <c r="L17" s="12">
        <v>0.25</v>
      </c>
      <c r="M17">
        <v>0.75</v>
      </c>
      <c r="N17">
        <v>0.5</v>
      </c>
      <c r="O17">
        <v>0.75</v>
      </c>
      <c r="P17">
        <v>0.25</v>
      </c>
      <c r="Q17">
        <v>0.25</v>
      </c>
      <c r="R17">
        <v>0.5</v>
      </c>
      <c r="S17">
        <v>0.25</v>
      </c>
      <c r="T17">
        <v>0.5</v>
      </c>
      <c r="U17">
        <v>0.5</v>
      </c>
      <c r="V17">
        <v>0.5</v>
      </c>
      <c r="W17">
        <v>0.5</v>
      </c>
      <c r="X17">
        <v>0.75</v>
      </c>
      <c r="Y17">
        <v>0.75</v>
      </c>
      <c r="Z17" t="s">
        <v>72</v>
      </c>
      <c r="AD17">
        <v>1</v>
      </c>
      <c r="AE17" t="s">
        <v>11</v>
      </c>
    </row>
    <row r="18" spans="1:31" x14ac:dyDescent="0.2">
      <c r="A18" t="s">
        <v>73</v>
      </c>
      <c r="B18">
        <v>0.75</v>
      </c>
      <c r="C18">
        <v>0.25</v>
      </c>
      <c r="D18">
        <v>0.25</v>
      </c>
      <c r="E18">
        <v>0.5</v>
      </c>
      <c r="F18" s="12">
        <v>0.25</v>
      </c>
      <c r="G18">
        <v>0.75</v>
      </c>
      <c r="H18" s="12">
        <v>0.5</v>
      </c>
      <c r="I18">
        <v>0.25</v>
      </c>
      <c r="J18" s="12">
        <v>0.25</v>
      </c>
      <c r="K18">
        <v>0.25</v>
      </c>
      <c r="L18" s="12">
        <v>0.25</v>
      </c>
      <c r="M18">
        <v>0.5</v>
      </c>
      <c r="N18">
        <v>0.5</v>
      </c>
      <c r="O18">
        <v>0.25</v>
      </c>
      <c r="P18">
        <v>0.25</v>
      </c>
      <c r="Q18">
        <v>0.25</v>
      </c>
      <c r="R18">
        <v>0.25</v>
      </c>
      <c r="S18">
        <v>0.25</v>
      </c>
      <c r="T18">
        <v>0.25</v>
      </c>
      <c r="U18">
        <v>0.5</v>
      </c>
      <c r="V18">
        <v>0.25</v>
      </c>
      <c r="W18">
        <v>0</v>
      </c>
      <c r="X18">
        <v>0.5</v>
      </c>
      <c r="Y18">
        <v>0.75</v>
      </c>
      <c r="Z18" t="s">
        <v>73</v>
      </c>
      <c r="AD18">
        <v>1</v>
      </c>
      <c r="AE18" t="s">
        <v>12</v>
      </c>
    </row>
    <row r="19" spans="1:31" x14ac:dyDescent="0.2">
      <c r="B19">
        <f xml:space="preserve"> SUM(B17:B18)</f>
        <v>1.5</v>
      </c>
      <c r="C19">
        <f t="shared" ref="C19:Y19" si="3" xml:space="preserve"> SUM(C17:C18)</f>
        <v>0.75</v>
      </c>
      <c r="D19">
        <f t="shared" si="3"/>
        <v>0.75</v>
      </c>
      <c r="E19">
        <f t="shared" si="3"/>
        <v>1.25</v>
      </c>
      <c r="F19">
        <f t="shared" si="3"/>
        <v>0.75</v>
      </c>
      <c r="G19">
        <f t="shared" si="3"/>
        <v>1.5</v>
      </c>
      <c r="H19">
        <f t="shared" si="3"/>
        <v>1.25</v>
      </c>
      <c r="I19">
        <f t="shared" si="3"/>
        <v>1</v>
      </c>
      <c r="J19">
        <f t="shared" si="3"/>
        <v>0.75</v>
      </c>
      <c r="K19">
        <f t="shared" si="3"/>
        <v>0.75</v>
      </c>
      <c r="L19">
        <f t="shared" si="3"/>
        <v>0.5</v>
      </c>
      <c r="M19">
        <f t="shared" si="3"/>
        <v>1.25</v>
      </c>
      <c r="N19">
        <f t="shared" si="3"/>
        <v>1</v>
      </c>
      <c r="O19">
        <f t="shared" si="3"/>
        <v>1</v>
      </c>
      <c r="P19">
        <f t="shared" si="3"/>
        <v>0.5</v>
      </c>
      <c r="Q19">
        <f t="shared" si="3"/>
        <v>0.5</v>
      </c>
      <c r="R19">
        <f t="shared" si="3"/>
        <v>0.75</v>
      </c>
      <c r="S19">
        <f t="shared" si="3"/>
        <v>0.5</v>
      </c>
      <c r="T19">
        <f t="shared" si="3"/>
        <v>0.75</v>
      </c>
      <c r="U19">
        <f t="shared" si="3"/>
        <v>1</v>
      </c>
      <c r="V19">
        <f t="shared" si="3"/>
        <v>0.75</v>
      </c>
      <c r="W19">
        <f t="shared" si="3"/>
        <v>0.5</v>
      </c>
      <c r="X19">
        <f t="shared" si="3"/>
        <v>1.25</v>
      </c>
      <c r="Y19">
        <f t="shared" si="3"/>
        <v>1.5</v>
      </c>
      <c r="AD19">
        <v>1</v>
      </c>
      <c r="AE19" t="s">
        <v>13</v>
      </c>
    </row>
    <row r="20" spans="1:31" x14ac:dyDescent="0.2">
      <c r="B20" s="10"/>
      <c r="C20" s="10"/>
      <c r="D20" s="10"/>
      <c r="E20" s="10"/>
      <c r="F20" s="13"/>
      <c r="G20" s="10"/>
      <c r="H20" s="10"/>
      <c r="I20" s="10"/>
      <c r="J20" s="10"/>
      <c r="K20" s="10"/>
      <c r="L20" s="10"/>
      <c r="M20" s="10"/>
      <c r="N20" s="10"/>
      <c r="O20" s="10"/>
      <c r="P20" s="10"/>
      <c r="Q20" s="10"/>
      <c r="R20" s="10"/>
      <c r="S20" s="10"/>
      <c r="T20" s="10"/>
      <c r="U20" s="10"/>
      <c r="V20" s="10"/>
      <c r="W20" s="10"/>
      <c r="X20" s="10"/>
      <c r="Y20" s="10"/>
    </row>
    <row r="21" spans="1:31" x14ac:dyDescent="0.2">
      <c r="A21" t="s">
        <v>74</v>
      </c>
      <c r="B21">
        <v>1.5</v>
      </c>
      <c r="C21">
        <v>0</v>
      </c>
      <c r="D21">
        <v>0</v>
      </c>
      <c r="E21">
        <v>0</v>
      </c>
      <c r="F21">
        <v>0.5</v>
      </c>
      <c r="G21">
        <v>0.25</v>
      </c>
      <c r="H21">
        <v>0.25</v>
      </c>
      <c r="I21">
        <v>0.25</v>
      </c>
      <c r="J21">
        <v>0</v>
      </c>
      <c r="K21">
        <v>0</v>
      </c>
      <c r="L21">
        <v>0</v>
      </c>
      <c r="M21">
        <v>0</v>
      </c>
      <c r="N21">
        <v>0</v>
      </c>
      <c r="O21">
        <v>0.5</v>
      </c>
      <c r="P21">
        <v>0</v>
      </c>
      <c r="Q21">
        <v>1.25</v>
      </c>
      <c r="R21">
        <v>0</v>
      </c>
      <c r="S21">
        <v>0</v>
      </c>
      <c r="T21">
        <v>0.75</v>
      </c>
      <c r="U21">
        <v>0</v>
      </c>
      <c r="V21">
        <v>0</v>
      </c>
      <c r="W21">
        <v>0.5</v>
      </c>
      <c r="X21">
        <v>0.25</v>
      </c>
      <c r="Y21">
        <v>1.5</v>
      </c>
      <c r="Z21" t="s">
        <v>74</v>
      </c>
      <c r="AD21">
        <f t="shared" ref="AD21" si="4" xml:space="preserve"> SUM(AD17:AD19)</f>
        <v>3</v>
      </c>
    </row>
    <row r="22" spans="1:31" x14ac:dyDescent="0.2">
      <c r="A22" t="s">
        <v>75</v>
      </c>
      <c r="B22">
        <v>1</v>
      </c>
      <c r="C22">
        <v>0</v>
      </c>
      <c r="D22">
        <v>0</v>
      </c>
      <c r="E22">
        <v>0</v>
      </c>
      <c r="F22">
        <v>0.5</v>
      </c>
      <c r="G22">
        <v>0</v>
      </c>
      <c r="H22">
        <v>0</v>
      </c>
      <c r="I22">
        <v>0</v>
      </c>
      <c r="J22">
        <v>0</v>
      </c>
      <c r="K22">
        <v>0</v>
      </c>
      <c r="L22">
        <v>0</v>
      </c>
      <c r="M22">
        <v>0</v>
      </c>
      <c r="N22">
        <v>0</v>
      </c>
      <c r="O22">
        <v>0.5</v>
      </c>
      <c r="P22">
        <v>0</v>
      </c>
      <c r="Q22">
        <v>1</v>
      </c>
      <c r="R22">
        <v>0</v>
      </c>
      <c r="S22">
        <v>0</v>
      </c>
      <c r="T22">
        <v>0.75</v>
      </c>
      <c r="U22">
        <v>0</v>
      </c>
      <c r="V22">
        <v>0</v>
      </c>
      <c r="W22">
        <v>0</v>
      </c>
      <c r="X22">
        <v>0</v>
      </c>
      <c r="Y22">
        <v>1</v>
      </c>
      <c r="Z22" t="s">
        <v>75</v>
      </c>
    </row>
    <row r="23" spans="1:31" x14ac:dyDescent="0.2">
      <c r="A23" t="s">
        <v>76</v>
      </c>
      <c r="B23">
        <v>1.5</v>
      </c>
      <c r="C23">
        <v>0.75</v>
      </c>
      <c r="D23">
        <v>1</v>
      </c>
      <c r="E23">
        <v>0.75</v>
      </c>
      <c r="F23">
        <v>0.75</v>
      </c>
      <c r="G23">
        <v>1.25</v>
      </c>
      <c r="H23">
        <v>1.25</v>
      </c>
      <c r="I23">
        <v>1.25</v>
      </c>
      <c r="J23">
        <v>0.75</v>
      </c>
      <c r="K23">
        <v>1</v>
      </c>
      <c r="L23">
        <v>0.75</v>
      </c>
      <c r="M23">
        <v>0.75</v>
      </c>
      <c r="N23">
        <v>1.25</v>
      </c>
      <c r="O23">
        <v>0.75</v>
      </c>
      <c r="P23">
        <v>0.25</v>
      </c>
      <c r="Q23">
        <v>1</v>
      </c>
      <c r="R23">
        <v>0.75</v>
      </c>
      <c r="S23">
        <v>0.5</v>
      </c>
      <c r="T23">
        <v>1.5</v>
      </c>
      <c r="U23">
        <v>0.75</v>
      </c>
      <c r="V23">
        <v>0.5</v>
      </c>
      <c r="W23">
        <v>1.25</v>
      </c>
      <c r="X23">
        <v>0.75</v>
      </c>
      <c r="Y23">
        <v>1.5</v>
      </c>
      <c r="Z23" t="s">
        <v>76</v>
      </c>
      <c r="AE23" s="9" t="s">
        <v>21</v>
      </c>
    </row>
    <row r="24" spans="1:31" x14ac:dyDescent="0.2">
      <c r="B24">
        <f xml:space="preserve"> SUM(B21:B23)</f>
        <v>4</v>
      </c>
      <c r="C24">
        <f t="shared" ref="C24:W24" si="5" xml:space="preserve"> SUM(C21:C23)</f>
        <v>0.75</v>
      </c>
      <c r="D24">
        <f t="shared" si="5"/>
        <v>1</v>
      </c>
      <c r="E24">
        <f t="shared" si="5"/>
        <v>0.75</v>
      </c>
      <c r="F24">
        <f xml:space="preserve"> SUM(G21:G23)</f>
        <v>1.5</v>
      </c>
      <c r="G24">
        <f t="shared" si="5"/>
        <v>1.5</v>
      </c>
      <c r="H24">
        <f t="shared" si="5"/>
        <v>1.5</v>
      </c>
      <c r="I24">
        <f t="shared" si="5"/>
        <v>1.5</v>
      </c>
      <c r="J24">
        <f t="shared" si="5"/>
        <v>0.75</v>
      </c>
      <c r="K24">
        <f t="shared" si="5"/>
        <v>1</v>
      </c>
      <c r="L24">
        <f t="shared" si="5"/>
        <v>0.75</v>
      </c>
      <c r="M24">
        <f t="shared" si="5"/>
        <v>0.75</v>
      </c>
      <c r="N24">
        <f t="shared" si="5"/>
        <v>1.25</v>
      </c>
      <c r="O24">
        <f t="shared" si="5"/>
        <v>1.75</v>
      </c>
      <c r="P24">
        <f t="shared" si="5"/>
        <v>0.25</v>
      </c>
      <c r="Q24">
        <f t="shared" si="5"/>
        <v>3.25</v>
      </c>
      <c r="R24">
        <f t="shared" si="5"/>
        <v>0.75</v>
      </c>
      <c r="S24">
        <f t="shared" si="5"/>
        <v>0.5</v>
      </c>
      <c r="T24">
        <f t="shared" si="5"/>
        <v>3</v>
      </c>
      <c r="U24">
        <f t="shared" si="5"/>
        <v>0.75</v>
      </c>
      <c r="V24">
        <f t="shared" si="5"/>
        <v>0.5</v>
      </c>
      <c r="W24">
        <f t="shared" si="5"/>
        <v>1.75</v>
      </c>
      <c r="X24">
        <f xml:space="preserve"> SUM(X21:X23)</f>
        <v>1</v>
      </c>
      <c r="Y24">
        <f xml:space="preserve"> SUM(Y21:Y23)</f>
        <v>4</v>
      </c>
      <c r="Z24" t="s">
        <v>76</v>
      </c>
      <c r="AD24">
        <v>0.5</v>
      </c>
      <c r="AE24" t="s">
        <v>14</v>
      </c>
    </row>
    <row r="25" spans="1:31" x14ac:dyDescent="0.2">
      <c r="AD25">
        <v>3</v>
      </c>
      <c r="AE25" t="s">
        <v>34</v>
      </c>
    </row>
    <row r="26" spans="1:31" x14ac:dyDescent="0.2">
      <c r="A26" s="1"/>
      <c r="B26">
        <f xml:space="preserve"> B7 + B11 + B15 + B19+ B24</f>
        <v>12</v>
      </c>
      <c r="C26">
        <f t="shared" ref="C26:Y26" si="6" xml:space="preserve"> C7 + C11 + C15 + C19+ C24</f>
        <v>6.25</v>
      </c>
      <c r="D26">
        <f t="shared" si="6"/>
        <v>6.25</v>
      </c>
      <c r="E26">
        <f t="shared" si="6"/>
        <v>6.5</v>
      </c>
      <c r="F26">
        <f t="shared" si="6"/>
        <v>7.25</v>
      </c>
      <c r="G26">
        <f t="shared" si="6"/>
        <v>7.5</v>
      </c>
      <c r="H26">
        <f t="shared" si="6"/>
        <v>7</v>
      </c>
      <c r="I26">
        <f t="shared" si="6"/>
        <v>6.75</v>
      </c>
      <c r="J26">
        <f t="shared" si="6"/>
        <v>5.75</v>
      </c>
      <c r="K26">
        <f t="shared" si="6"/>
        <v>7</v>
      </c>
      <c r="L26">
        <f t="shared" si="6"/>
        <v>4.25</v>
      </c>
      <c r="M26">
        <f t="shared" si="6"/>
        <v>7.25</v>
      </c>
      <c r="N26">
        <f t="shared" si="6"/>
        <v>6.5</v>
      </c>
      <c r="O26">
        <f t="shared" si="6"/>
        <v>7</v>
      </c>
      <c r="P26">
        <f t="shared" si="6"/>
        <v>3.75</v>
      </c>
      <c r="Q26">
        <f t="shared" si="6"/>
        <v>8.25</v>
      </c>
      <c r="R26">
        <f t="shared" si="6"/>
        <v>6.5</v>
      </c>
      <c r="S26">
        <f t="shared" si="6"/>
        <v>5</v>
      </c>
      <c r="T26">
        <f t="shared" si="6"/>
        <v>7.25</v>
      </c>
      <c r="U26">
        <f t="shared" si="6"/>
        <v>5.5</v>
      </c>
      <c r="V26">
        <f t="shared" si="6"/>
        <v>6.75</v>
      </c>
      <c r="W26">
        <f t="shared" si="6"/>
        <v>6.5</v>
      </c>
      <c r="X26">
        <f t="shared" si="6"/>
        <v>8</v>
      </c>
      <c r="Y26">
        <f t="shared" si="6"/>
        <v>12</v>
      </c>
      <c r="Z26" s="1"/>
      <c r="AD26">
        <v>0.5</v>
      </c>
      <c r="AE26" t="s">
        <v>15</v>
      </c>
    </row>
    <row r="27" spans="1:31" x14ac:dyDescent="0.2">
      <c r="AD27">
        <f t="shared" ref="AD27" si="7" xml:space="preserve"> SUM(AD24:AD26)</f>
        <v>4</v>
      </c>
    </row>
    <row r="28" spans="1:31" x14ac:dyDescent="0.2">
      <c r="A28" s="7" t="s">
        <v>77</v>
      </c>
      <c r="Z28" s="7" t="s">
        <v>77</v>
      </c>
      <c r="AE28" s="9" t="s">
        <v>19</v>
      </c>
    </row>
    <row r="29" spans="1:31" x14ac:dyDescent="0.2">
      <c r="AD29">
        <v>0.25</v>
      </c>
      <c r="AE29" t="s">
        <v>18</v>
      </c>
    </row>
    <row r="30" spans="1:31" x14ac:dyDescent="0.2">
      <c r="A30" t="s">
        <v>96</v>
      </c>
      <c r="B30">
        <v>2</v>
      </c>
      <c r="C30">
        <v>0.75</v>
      </c>
      <c r="D30">
        <v>0.5</v>
      </c>
      <c r="E30">
        <v>0.75</v>
      </c>
      <c r="F30" s="12">
        <v>1</v>
      </c>
      <c r="G30">
        <v>1.5</v>
      </c>
      <c r="H30">
        <v>0</v>
      </c>
      <c r="I30">
        <v>0.25</v>
      </c>
      <c r="J30">
        <v>1</v>
      </c>
      <c r="K30">
        <v>0.5</v>
      </c>
      <c r="L30">
        <v>0.5</v>
      </c>
      <c r="M30">
        <v>1.5</v>
      </c>
      <c r="N30">
        <v>0.5</v>
      </c>
      <c r="O30">
        <v>1</v>
      </c>
      <c r="P30">
        <v>0.25</v>
      </c>
      <c r="Q30">
        <v>0.5</v>
      </c>
      <c r="R30">
        <v>0.5</v>
      </c>
      <c r="S30">
        <v>0.25</v>
      </c>
      <c r="T30">
        <v>0.75</v>
      </c>
      <c r="U30">
        <v>1.25</v>
      </c>
      <c r="V30">
        <v>0.5</v>
      </c>
      <c r="W30">
        <v>0.75</v>
      </c>
      <c r="X30">
        <v>1</v>
      </c>
      <c r="Y30">
        <v>2</v>
      </c>
      <c r="Z30" t="s">
        <v>96</v>
      </c>
      <c r="AD30">
        <v>0.5</v>
      </c>
      <c r="AE30" t="s">
        <v>16</v>
      </c>
    </row>
    <row r="31" spans="1:31" x14ac:dyDescent="0.2">
      <c r="A31" t="s">
        <v>95</v>
      </c>
      <c r="B31">
        <v>1</v>
      </c>
      <c r="C31">
        <v>0.75</v>
      </c>
      <c r="D31">
        <v>0.25</v>
      </c>
      <c r="E31">
        <v>0.25</v>
      </c>
      <c r="F31" s="12">
        <v>0.5</v>
      </c>
      <c r="G31">
        <v>0.75</v>
      </c>
      <c r="H31">
        <v>0.25</v>
      </c>
      <c r="I31">
        <v>0.25</v>
      </c>
      <c r="J31">
        <v>0.5</v>
      </c>
      <c r="K31">
        <v>0.25</v>
      </c>
      <c r="L31">
        <v>1</v>
      </c>
      <c r="M31">
        <v>0.25</v>
      </c>
      <c r="N31">
        <v>0.25</v>
      </c>
      <c r="O31">
        <v>1</v>
      </c>
      <c r="P31">
        <v>0</v>
      </c>
      <c r="Q31">
        <v>0.5</v>
      </c>
      <c r="R31">
        <v>0.25</v>
      </c>
      <c r="S31">
        <v>0.25</v>
      </c>
      <c r="T31">
        <v>0.5</v>
      </c>
      <c r="U31">
        <v>0.75</v>
      </c>
      <c r="V31">
        <v>0.5</v>
      </c>
      <c r="W31">
        <v>0.25</v>
      </c>
      <c r="X31">
        <v>0.25</v>
      </c>
      <c r="Y31">
        <v>1</v>
      </c>
      <c r="Z31" t="s">
        <v>95</v>
      </c>
    </row>
    <row r="32" spans="1:31" x14ac:dyDescent="0.2">
      <c r="A32" t="s">
        <v>78</v>
      </c>
      <c r="B32">
        <v>1</v>
      </c>
      <c r="C32">
        <v>0.5</v>
      </c>
      <c r="D32">
        <v>0.25</v>
      </c>
      <c r="E32">
        <v>0.5</v>
      </c>
      <c r="F32" s="12">
        <v>0.5</v>
      </c>
      <c r="G32">
        <v>0.75</v>
      </c>
      <c r="H32">
        <v>0</v>
      </c>
      <c r="I32">
        <v>0.5</v>
      </c>
      <c r="J32">
        <v>0.75</v>
      </c>
      <c r="K32">
        <v>0</v>
      </c>
      <c r="L32">
        <v>1</v>
      </c>
      <c r="M32">
        <v>0.5</v>
      </c>
      <c r="N32">
        <v>0.5</v>
      </c>
      <c r="O32">
        <v>0.5</v>
      </c>
      <c r="P32">
        <v>0.25</v>
      </c>
      <c r="Q32">
        <v>0.75</v>
      </c>
      <c r="R32">
        <v>0.25</v>
      </c>
      <c r="S32">
        <v>0</v>
      </c>
      <c r="T32">
        <v>0.5</v>
      </c>
      <c r="U32">
        <v>0.25</v>
      </c>
      <c r="V32">
        <v>0.5</v>
      </c>
      <c r="W32">
        <v>0.5</v>
      </c>
      <c r="X32">
        <v>0.5</v>
      </c>
      <c r="Y32">
        <v>1</v>
      </c>
      <c r="Z32" t="s">
        <v>78</v>
      </c>
      <c r="AD32">
        <v>0.25</v>
      </c>
      <c r="AE32" t="s">
        <v>17</v>
      </c>
    </row>
    <row r="33" spans="1:31" x14ac:dyDescent="0.2">
      <c r="B33">
        <f xml:space="preserve"> SUM(B30:B32)</f>
        <v>4</v>
      </c>
      <c r="C33">
        <f t="shared" ref="C33:Y33" si="8" xml:space="preserve"> SUM(C30:C32)</f>
        <v>2</v>
      </c>
      <c r="D33">
        <f t="shared" si="8"/>
        <v>1</v>
      </c>
      <c r="E33">
        <f t="shared" si="8"/>
        <v>1.5</v>
      </c>
      <c r="F33">
        <f t="shared" si="8"/>
        <v>2</v>
      </c>
      <c r="G33">
        <f t="shared" si="8"/>
        <v>3</v>
      </c>
      <c r="H33">
        <f t="shared" si="8"/>
        <v>0.25</v>
      </c>
      <c r="I33">
        <f t="shared" si="8"/>
        <v>1</v>
      </c>
      <c r="J33">
        <f t="shared" si="8"/>
        <v>2.25</v>
      </c>
      <c r="K33">
        <f t="shared" si="8"/>
        <v>0.75</v>
      </c>
      <c r="L33">
        <f t="shared" si="8"/>
        <v>2.5</v>
      </c>
      <c r="M33">
        <f t="shared" si="8"/>
        <v>2.25</v>
      </c>
      <c r="N33">
        <f t="shared" si="8"/>
        <v>1.25</v>
      </c>
      <c r="O33">
        <f t="shared" si="8"/>
        <v>2.5</v>
      </c>
      <c r="P33">
        <f t="shared" si="8"/>
        <v>0.5</v>
      </c>
      <c r="Q33">
        <f t="shared" si="8"/>
        <v>1.75</v>
      </c>
      <c r="R33">
        <f t="shared" si="8"/>
        <v>1</v>
      </c>
      <c r="S33">
        <f t="shared" si="8"/>
        <v>0.5</v>
      </c>
      <c r="T33">
        <f t="shared" si="8"/>
        <v>1.75</v>
      </c>
      <c r="U33">
        <f t="shared" si="8"/>
        <v>2.25</v>
      </c>
      <c r="V33">
        <f t="shared" si="8"/>
        <v>1.5</v>
      </c>
      <c r="W33">
        <f t="shared" si="8"/>
        <v>1.5</v>
      </c>
      <c r="X33">
        <f t="shared" si="8"/>
        <v>1.75</v>
      </c>
      <c r="Y33">
        <f t="shared" si="8"/>
        <v>4</v>
      </c>
    </row>
    <row r="34" spans="1:31" x14ac:dyDescent="0.2">
      <c r="C34" s="8"/>
      <c r="D34" s="8"/>
      <c r="E34" s="8"/>
      <c r="F34" s="18"/>
      <c r="G34" s="8"/>
      <c r="H34" s="8"/>
      <c r="I34" s="8"/>
      <c r="J34" s="8"/>
      <c r="K34" s="8"/>
      <c r="L34" s="8"/>
      <c r="M34" s="8"/>
      <c r="N34" s="8"/>
      <c r="O34" s="8"/>
      <c r="P34" s="8"/>
      <c r="Q34" s="8"/>
      <c r="R34" s="8"/>
      <c r="S34" s="8"/>
      <c r="T34" s="8"/>
      <c r="U34" s="8"/>
      <c r="V34" s="8"/>
      <c r="W34" s="8"/>
      <c r="X34" s="8"/>
      <c r="AA34" s="8"/>
      <c r="AB34" s="8"/>
      <c r="AC34" s="8"/>
      <c r="AD34" s="8">
        <f t="shared" ref="AD34" si="9" xml:space="preserve"> SUM(AD29:AD32)</f>
        <v>1</v>
      </c>
    </row>
    <row r="35" spans="1:31" x14ac:dyDescent="0.2">
      <c r="A35" s="9" t="s">
        <v>79</v>
      </c>
      <c r="Z35" s="9" t="s">
        <v>79</v>
      </c>
      <c r="AE35" s="9" t="s">
        <v>22</v>
      </c>
    </row>
    <row r="36" spans="1:31" x14ac:dyDescent="0.2">
      <c r="A36" t="s">
        <v>80</v>
      </c>
      <c r="B36">
        <v>1</v>
      </c>
      <c r="C36">
        <v>0.25</v>
      </c>
      <c r="D36">
        <v>1</v>
      </c>
      <c r="E36">
        <v>0.75</v>
      </c>
      <c r="F36" s="12">
        <v>1</v>
      </c>
      <c r="G36">
        <v>0.75</v>
      </c>
      <c r="H36">
        <v>0.5</v>
      </c>
      <c r="I36">
        <v>0.25</v>
      </c>
      <c r="J36">
        <v>0.25</v>
      </c>
      <c r="K36">
        <v>0.5</v>
      </c>
      <c r="L36">
        <v>0.75</v>
      </c>
      <c r="M36">
        <v>0.5</v>
      </c>
      <c r="N36">
        <v>0</v>
      </c>
      <c r="O36">
        <v>0</v>
      </c>
      <c r="P36">
        <v>0.75</v>
      </c>
      <c r="Q36">
        <v>0</v>
      </c>
      <c r="R36">
        <v>0.25</v>
      </c>
      <c r="S36">
        <v>0.25</v>
      </c>
      <c r="T36">
        <v>0.25</v>
      </c>
      <c r="U36">
        <v>0.75</v>
      </c>
      <c r="V36">
        <v>0</v>
      </c>
      <c r="W36">
        <v>0</v>
      </c>
      <c r="X36">
        <v>0.5</v>
      </c>
      <c r="Y36">
        <v>1</v>
      </c>
      <c r="Z36" t="s">
        <v>80</v>
      </c>
      <c r="AD36">
        <v>0.25</v>
      </c>
      <c r="AE36" t="s">
        <v>23</v>
      </c>
    </row>
    <row r="37" spans="1:31" x14ac:dyDescent="0.2">
      <c r="A37" t="s">
        <v>81</v>
      </c>
      <c r="B37">
        <v>1</v>
      </c>
      <c r="C37">
        <v>0.5</v>
      </c>
      <c r="D37">
        <v>0.75</v>
      </c>
      <c r="E37">
        <v>0</v>
      </c>
      <c r="F37" s="12">
        <v>1</v>
      </c>
      <c r="G37">
        <v>0.75</v>
      </c>
      <c r="H37">
        <v>0.5</v>
      </c>
      <c r="I37">
        <v>0.75</v>
      </c>
      <c r="J37">
        <v>0.5</v>
      </c>
      <c r="K37">
        <v>0</v>
      </c>
      <c r="L37">
        <v>0.75</v>
      </c>
      <c r="M37">
        <v>0.25</v>
      </c>
      <c r="N37">
        <v>0.25</v>
      </c>
      <c r="O37">
        <v>0</v>
      </c>
      <c r="P37">
        <v>0</v>
      </c>
      <c r="Q37">
        <v>0.5</v>
      </c>
      <c r="R37">
        <v>0.5</v>
      </c>
      <c r="S37">
        <v>0</v>
      </c>
      <c r="T37">
        <v>0.25</v>
      </c>
      <c r="U37">
        <v>0.25</v>
      </c>
      <c r="V37">
        <v>0.5</v>
      </c>
      <c r="W37">
        <v>0</v>
      </c>
      <c r="X37">
        <v>0.5</v>
      </c>
      <c r="Y37">
        <v>1</v>
      </c>
      <c r="Z37" t="s">
        <v>81</v>
      </c>
      <c r="AD37">
        <v>0.25</v>
      </c>
      <c r="AE37" t="s">
        <v>24</v>
      </c>
    </row>
    <row r="38" spans="1:31" x14ac:dyDescent="0.2">
      <c r="B38">
        <f xml:space="preserve"> SUM(B36:B37)</f>
        <v>2</v>
      </c>
      <c r="C38">
        <f t="shared" ref="C38:Y38" si="10" xml:space="preserve"> SUM(C36:C37)</f>
        <v>0.75</v>
      </c>
      <c r="D38">
        <f t="shared" si="10"/>
        <v>1.75</v>
      </c>
      <c r="E38">
        <f t="shared" si="10"/>
        <v>0.75</v>
      </c>
      <c r="F38">
        <f t="shared" si="10"/>
        <v>2</v>
      </c>
      <c r="G38">
        <f t="shared" si="10"/>
        <v>1.5</v>
      </c>
      <c r="H38">
        <f t="shared" si="10"/>
        <v>1</v>
      </c>
      <c r="I38">
        <f t="shared" si="10"/>
        <v>1</v>
      </c>
      <c r="J38">
        <f t="shared" si="10"/>
        <v>0.75</v>
      </c>
      <c r="K38">
        <f t="shared" si="10"/>
        <v>0.5</v>
      </c>
      <c r="L38">
        <f t="shared" si="10"/>
        <v>1.5</v>
      </c>
      <c r="M38">
        <f t="shared" si="10"/>
        <v>0.75</v>
      </c>
      <c r="N38">
        <f t="shared" si="10"/>
        <v>0.25</v>
      </c>
      <c r="O38">
        <f t="shared" si="10"/>
        <v>0</v>
      </c>
      <c r="P38">
        <f t="shared" si="10"/>
        <v>0.75</v>
      </c>
      <c r="Q38">
        <f t="shared" si="10"/>
        <v>0.5</v>
      </c>
      <c r="R38">
        <f t="shared" si="10"/>
        <v>0.75</v>
      </c>
      <c r="S38">
        <f t="shared" si="10"/>
        <v>0.25</v>
      </c>
      <c r="T38">
        <f t="shared" si="10"/>
        <v>0.5</v>
      </c>
      <c r="U38">
        <f t="shared" si="10"/>
        <v>1</v>
      </c>
      <c r="V38">
        <f t="shared" si="10"/>
        <v>0.5</v>
      </c>
      <c r="W38">
        <f t="shared" si="10"/>
        <v>0</v>
      </c>
      <c r="X38">
        <f t="shared" si="10"/>
        <v>1</v>
      </c>
      <c r="Y38">
        <f t="shared" si="10"/>
        <v>2</v>
      </c>
      <c r="AD38">
        <v>0.25</v>
      </c>
      <c r="AE38" t="s">
        <v>25</v>
      </c>
    </row>
    <row r="40" spans="1:31" x14ac:dyDescent="0.2">
      <c r="A40" t="s">
        <v>97</v>
      </c>
      <c r="B40">
        <v>1</v>
      </c>
      <c r="C40">
        <v>0.5</v>
      </c>
      <c r="D40">
        <v>0.25</v>
      </c>
      <c r="E40">
        <v>0.5</v>
      </c>
      <c r="F40" s="12">
        <v>0.5</v>
      </c>
      <c r="G40">
        <v>0.75</v>
      </c>
      <c r="H40">
        <v>0</v>
      </c>
      <c r="I40">
        <v>0.5</v>
      </c>
      <c r="J40">
        <v>0.75</v>
      </c>
      <c r="K40">
        <v>1</v>
      </c>
      <c r="L40">
        <v>1</v>
      </c>
      <c r="M40">
        <v>0.75</v>
      </c>
      <c r="N40">
        <v>0</v>
      </c>
      <c r="O40">
        <v>0</v>
      </c>
      <c r="P40">
        <v>0.25</v>
      </c>
      <c r="Q40">
        <v>0.5</v>
      </c>
      <c r="R40">
        <v>0.25</v>
      </c>
      <c r="S40">
        <v>0</v>
      </c>
      <c r="T40">
        <v>0.5</v>
      </c>
      <c r="U40">
        <v>0.5</v>
      </c>
      <c r="V40">
        <v>0.5</v>
      </c>
      <c r="W40">
        <v>0.25</v>
      </c>
      <c r="X40">
        <v>0.5</v>
      </c>
      <c r="Y40">
        <v>1</v>
      </c>
      <c r="Z40" t="s">
        <v>97</v>
      </c>
      <c r="AD40">
        <v>0.25</v>
      </c>
      <c r="AE40" t="s">
        <v>26</v>
      </c>
    </row>
    <row r="41" spans="1:31" x14ac:dyDescent="0.2">
      <c r="A41" t="s">
        <v>98</v>
      </c>
      <c r="B41">
        <v>0.5</v>
      </c>
      <c r="C41">
        <v>0.25</v>
      </c>
      <c r="D41">
        <v>0.25</v>
      </c>
      <c r="E41">
        <v>0.25</v>
      </c>
      <c r="F41" s="12">
        <v>0.25</v>
      </c>
      <c r="G41">
        <v>0.5</v>
      </c>
      <c r="H41">
        <v>0.25</v>
      </c>
      <c r="I41">
        <v>0.25</v>
      </c>
      <c r="J41">
        <v>0.25</v>
      </c>
      <c r="K41">
        <v>0.5</v>
      </c>
      <c r="L41">
        <v>0.25</v>
      </c>
      <c r="M41">
        <v>0.25</v>
      </c>
      <c r="N41">
        <v>0.25</v>
      </c>
      <c r="O41">
        <v>0</v>
      </c>
      <c r="P41">
        <v>0</v>
      </c>
      <c r="Q41">
        <v>0.25</v>
      </c>
      <c r="R41">
        <v>0.25</v>
      </c>
      <c r="S41">
        <v>0</v>
      </c>
      <c r="T41">
        <v>0.25</v>
      </c>
      <c r="U41">
        <v>0.5</v>
      </c>
      <c r="V41">
        <v>0.25</v>
      </c>
      <c r="W41">
        <v>0.25</v>
      </c>
      <c r="X41">
        <v>0.25</v>
      </c>
      <c r="Y41">
        <v>0.5</v>
      </c>
      <c r="Z41" t="s">
        <v>98</v>
      </c>
      <c r="AB41" s="8"/>
      <c r="AC41" s="8"/>
      <c r="AD41" s="8">
        <f t="shared" ref="AD41" si="11" xml:space="preserve"> SUM(AD36:AD40)</f>
        <v>1</v>
      </c>
    </row>
    <row r="42" spans="1:31" x14ac:dyDescent="0.2">
      <c r="A42" t="s">
        <v>78</v>
      </c>
      <c r="B42">
        <v>0.5</v>
      </c>
      <c r="C42">
        <v>0.25</v>
      </c>
      <c r="D42">
        <v>0</v>
      </c>
      <c r="E42">
        <v>0</v>
      </c>
      <c r="F42" s="12">
        <v>0.25</v>
      </c>
      <c r="G42">
        <v>0.5</v>
      </c>
      <c r="H42">
        <v>0</v>
      </c>
      <c r="I42">
        <v>0.5</v>
      </c>
      <c r="J42">
        <v>0.25</v>
      </c>
      <c r="K42">
        <v>0</v>
      </c>
      <c r="L42">
        <v>0.25</v>
      </c>
      <c r="M42">
        <v>0.25</v>
      </c>
      <c r="N42">
        <v>0.25</v>
      </c>
      <c r="O42">
        <v>0</v>
      </c>
      <c r="P42">
        <v>0.25</v>
      </c>
      <c r="Q42">
        <v>0.25</v>
      </c>
      <c r="R42">
        <v>0.25</v>
      </c>
      <c r="S42">
        <v>0</v>
      </c>
      <c r="T42">
        <v>0</v>
      </c>
      <c r="U42">
        <v>0.5</v>
      </c>
      <c r="V42">
        <v>0.25</v>
      </c>
      <c r="W42">
        <v>0.25</v>
      </c>
      <c r="X42">
        <v>0.25</v>
      </c>
      <c r="Y42">
        <v>0.5</v>
      </c>
      <c r="Z42" t="s">
        <v>78</v>
      </c>
    </row>
    <row r="43" spans="1:31" x14ac:dyDescent="0.2">
      <c r="B43">
        <f xml:space="preserve"> SUM(B40:B42)</f>
        <v>2</v>
      </c>
      <c r="C43">
        <f t="shared" ref="C43:Y43" si="12" xml:space="preserve"> SUM(C40:C42)</f>
        <v>1</v>
      </c>
      <c r="D43">
        <f t="shared" si="12"/>
        <v>0.5</v>
      </c>
      <c r="E43">
        <f t="shared" si="12"/>
        <v>0.75</v>
      </c>
      <c r="F43">
        <f t="shared" si="12"/>
        <v>1</v>
      </c>
      <c r="G43">
        <f t="shared" si="12"/>
        <v>1.75</v>
      </c>
      <c r="H43">
        <f t="shared" si="12"/>
        <v>0.25</v>
      </c>
      <c r="I43">
        <f t="shared" si="12"/>
        <v>1.25</v>
      </c>
      <c r="J43">
        <f t="shared" si="12"/>
        <v>1.25</v>
      </c>
      <c r="K43">
        <f xml:space="preserve"> SUM(K40:K42)</f>
        <v>1.5</v>
      </c>
      <c r="L43">
        <f t="shared" si="12"/>
        <v>1.5</v>
      </c>
      <c r="M43">
        <f t="shared" si="12"/>
        <v>1.25</v>
      </c>
      <c r="N43">
        <f t="shared" si="12"/>
        <v>0.5</v>
      </c>
      <c r="O43">
        <f t="shared" si="12"/>
        <v>0</v>
      </c>
      <c r="P43">
        <f t="shared" si="12"/>
        <v>0.5</v>
      </c>
      <c r="Q43">
        <f t="shared" si="12"/>
        <v>1</v>
      </c>
      <c r="R43">
        <f t="shared" si="12"/>
        <v>0.75</v>
      </c>
      <c r="S43">
        <f t="shared" si="12"/>
        <v>0</v>
      </c>
      <c r="T43">
        <f t="shared" si="12"/>
        <v>0.75</v>
      </c>
      <c r="U43">
        <f t="shared" si="12"/>
        <v>1.5</v>
      </c>
      <c r="V43">
        <f t="shared" si="12"/>
        <v>1</v>
      </c>
      <c r="W43">
        <f t="shared" si="12"/>
        <v>0.75</v>
      </c>
      <c r="X43">
        <f t="shared" si="12"/>
        <v>1</v>
      </c>
      <c r="Y43">
        <f t="shared" si="12"/>
        <v>2</v>
      </c>
    </row>
    <row r="46" spans="1:31" x14ac:dyDescent="0.2">
      <c r="A46" s="5"/>
      <c r="B46">
        <f xml:space="preserve"> B33 + B38 + B43</f>
        <v>8</v>
      </c>
      <c r="C46">
        <f t="shared" ref="C46:Y46" si="13" xml:space="preserve"> C33 + C38 + C43</f>
        <v>3.75</v>
      </c>
      <c r="D46">
        <f t="shared" si="13"/>
        <v>3.25</v>
      </c>
      <c r="E46">
        <f t="shared" si="13"/>
        <v>3</v>
      </c>
      <c r="F46">
        <f t="shared" si="13"/>
        <v>5</v>
      </c>
      <c r="G46">
        <f t="shared" si="13"/>
        <v>6.25</v>
      </c>
      <c r="H46">
        <f t="shared" si="13"/>
        <v>1.5</v>
      </c>
      <c r="I46">
        <f t="shared" si="13"/>
        <v>3.25</v>
      </c>
      <c r="J46">
        <f t="shared" si="13"/>
        <v>4.25</v>
      </c>
      <c r="K46">
        <f t="shared" si="13"/>
        <v>2.75</v>
      </c>
      <c r="L46">
        <f t="shared" si="13"/>
        <v>5.5</v>
      </c>
      <c r="M46">
        <f t="shared" si="13"/>
        <v>4.25</v>
      </c>
      <c r="N46">
        <f t="shared" si="13"/>
        <v>2</v>
      </c>
      <c r="O46">
        <f t="shared" si="13"/>
        <v>2.5</v>
      </c>
      <c r="P46">
        <f t="shared" si="13"/>
        <v>1.75</v>
      </c>
      <c r="Q46">
        <f t="shared" si="13"/>
        <v>3.25</v>
      </c>
      <c r="R46">
        <f t="shared" si="13"/>
        <v>2.5</v>
      </c>
      <c r="S46">
        <f t="shared" si="13"/>
        <v>0.75</v>
      </c>
      <c r="T46">
        <f t="shared" si="13"/>
        <v>3</v>
      </c>
      <c r="U46">
        <f t="shared" si="13"/>
        <v>4.75</v>
      </c>
      <c r="V46">
        <f t="shared" si="13"/>
        <v>3</v>
      </c>
      <c r="W46">
        <f t="shared" si="13"/>
        <v>2.25</v>
      </c>
      <c r="X46">
        <f t="shared" si="13"/>
        <v>3.75</v>
      </c>
      <c r="Y46">
        <f t="shared" si="13"/>
        <v>8</v>
      </c>
      <c r="Z46" s="5"/>
      <c r="AA46" s="8"/>
      <c r="AB46" s="8"/>
      <c r="AC46" s="8"/>
    </row>
    <row r="47" spans="1:31" x14ac:dyDescent="0.2">
      <c r="C47" s="8"/>
      <c r="D47" s="8"/>
      <c r="E47" s="8"/>
      <c r="F47" s="18"/>
      <c r="G47" s="8"/>
      <c r="H47" s="8"/>
      <c r="I47" s="8"/>
      <c r="J47" s="8"/>
      <c r="K47" s="8"/>
      <c r="L47" s="8"/>
      <c r="M47" s="8"/>
      <c r="N47" s="8"/>
      <c r="O47" s="8"/>
      <c r="P47" s="8"/>
      <c r="Q47" s="8"/>
      <c r="R47" s="8"/>
      <c r="S47" s="8"/>
      <c r="T47" s="8"/>
      <c r="U47" s="8"/>
      <c r="V47" s="8"/>
      <c r="W47" s="8"/>
      <c r="X47" s="8"/>
      <c r="AA47" s="8"/>
      <c r="AB47" s="8"/>
      <c r="AC47" s="8"/>
    </row>
    <row r="48" spans="1:31" x14ac:dyDescent="0.2">
      <c r="A48" s="9" t="s">
        <v>82</v>
      </c>
      <c r="B48">
        <v>1</v>
      </c>
      <c r="C48" s="10">
        <v>0.5</v>
      </c>
      <c r="D48" s="10"/>
      <c r="E48" s="10">
        <v>0</v>
      </c>
      <c r="F48" s="13">
        <v>0.25</v>
      </c>
      <c r="G48" s="10">
        <v>0</v>
      </c>
      <c r="H48" s="10">
        <v>0</v>
      </c>
      <c r="I48" s="10">
        <v>0</v>
      </c>
      <c r="J48" s="10">
        <v>0.25</v>
      </c>
      <c r="K48" s="10"/>
      <c r="L48" s="10"/>
      <c r="M48" s="10"/>
      <c r="N48" s="10">
        <v>0</v>
      </c>
      <c r="O48" s="10">
        <v>0</v>
      </c>
      <c r="P48" s="10"/>
      <c r="Q48" s="10">
        <v>0</v>
      </c>
      <c r="R48" s="10">
        <v>0</v>
      </c>
      <c r="S48" s="10"/>
      <c r="T48" s="10"/>
      <c r="U48" s="10"/>
      <c r="V48" s="10"/>
      <c r="W48" s="10"/>
      <c r="X48" s="10"/>
      <c r="Y48">
        <v>1</v>
      </c>
      <c r="Z48" s="9" t="s">
        <v>82</v>
      </c>
      <c r="AA48" s="10"/>
      <c r="AB48" s="10"/>
      <c r="AC48" s="10"/>
      <c r="AD48">
        <v>0.5</v>
      </c>
      <c r="AE48" s="9" t="s">
        <v>27</v>
      </c>
    </row>
    <row r="49" spans="1:31" x14ac:dyDescent="0.2">
      <c r="A49" t="s">
        <v>83</v>
      </c>
      <c r="B49">
        <v>1</v>
      </c>
      <c r="C49">
        <v>0</v>
      </c>
      <c r="F49" s="12">
        <v>0.25</v>
      </c>
      <c r="G49">
        <v>0</v>
      </c>
      <c r="H49">
        <v>0</v>
      </c>
      <c r="I49">
        <v>0</v>
      </c>
      <c r="J49">
        <v>0.25</v>
      </c>
      <c r="N49">
        <v>0</v>
      </c>
      <c r="O49">
        <v>0</v>
      </c>
      <c r="Q49">
        <v>0</v>
      </c>
      <c r="R49">
        <v>0</v>
      </c>
      <c r="Y49">
        <v>1</v>
      </c>
      <c r="Z49" t="s">
        <v>83</v>
      </c>
    </row>
    <row r="50" spans="1:31" x14ac:dyDescent="0.2">
      <c r="A50" s="10" t="s">
        <v>84</v>
      </c>
      <c r="B50">
        <f xml:space="preserve"> SUM(B48:B49)</f>
        <v>2</v>
      </c>
      <c r="C50">
        <f t="shared" ref="C50:Y50" si="14" xml:space="preserve"> SUM(C48:C49)</f>
        <v>0.5</v>
      </c>
      <c r="D50">
        <f t="shared" si="14"/>
        <v>0</v>
      </c>
      <c r="E50">
        <f t="shared" si="14"/>
        <v>0</v>
      </c>
      <c r="F50">
        <f t="shared" si="14"/>
        <v>0.5</v>
      </c>
      <c r="G50">
        <f t="shared" si="14"/>
        <v>0</v>
      </c>
      <c r="H50">
        <f t="shared" si="14"/>
        <v>0</v>
      </c>
      <c r="I50">
        <f t="shared" si="14"/>
        <v>0</v>
      </c>
      <c r="J50">
        <f t="shared" si="14"/>
        <v>0.5</v>
      </c>
      <c r="K50">
        <f t="shared" si="14"/>
        <v>0</v>
      </c>
      <c r="L50">
        <f t="shared" si="14"/>
        <v>0</v>
      </c>
      <c r="M50">
        <f t="shared" si="14"/>
        <v>0</v>
      </c>
      <c r="N50">
        <f t="shared" si="14"/>
        <v>0</v>
      </c>
      <c r="O50">
        <f t="shared" si="14"/>
        <v>0</v>
      </c>
      <c r="P50">
        <f t="shared" si="14"/>
        <v>0</v>
      </c>
      <c r="Q50">
        <f t="shared" si="14"/>
        <v>0</v>
      </c>
      <c r="R50">
        <f t="shared" si="14"/>
        <v>0</v>
      </c>
      <c r="S50">
        <f t="shared" si="14"/>
        <v>0</v>
      </c>
      <c r="T50">
        <f t="shared" si="14"/>
        <v>0</v>
      </c>
      <c r="U50">
        <f t="shared" si="14"/>
        <v>0</v>
      </c>
      <c r="V50">
        <f t="shared" si="14"/>
        <v>0</v>
      </c>
      <c r="W50">
        <f t="shared" si="14"/>
        <v>0</v>
      </c>
      <c r="X50">
        <f t="shared" si="14"/>
        <v>0</v>
      </c>
      <c r="Y50">
        <f t="shared" si="14"/>
        <v>2</v>
      </c>
      <c r="Z50" s="10" t="s">
        <v>84</v>
      </c>
    </row>
    <row r="51" spans="1:31" x14ac:dyDescent="0.2">
      <c r="AD51" s="5"/>
      <c r="AE51" s="7" t="s">
        <v>7</v>
      </c>
    </row>
    <row r="52" spans="1:31" x14ac:dyDescent="0.2">
      <c r="A52" s="16" t="s">
        <v>133</v>
      </c>
      <c r="B52">
        <v>4</v>
      </c>
      <c r="C52">
        <v>4</v>
      </c>
      <c r="D52">
        <v>4</v>
      </c>
      <c r="E52">
        <v>1</v>
      </c>
      <c r="F52" s="12">
        <v>3</v>
      </c>
      <c r="G52">
        <v>3</v>
      </c>
      <c r="H52">
        <v>4</v>
      </c>
      <c r="I52">
        <v>4</v>
      </c>
      <c r="J52">
        <v>1</v>
      </c>
      <c r="K52">
        <v>4</v>
      </c>
      <c r="L52">
        <v>4</v>
      </c>
      <c r="M52">
        <v>4</v>
      </c>
      <c r="N52">
        <v>2</v>
      </c>
      <c r="O52">
        <v>4</v>
      </c>
      <c r="P52">
        <v>3</v>
      </c>
      <c r="Q52">
        <v>4</v>
      </c>
      <c r="R52">
        <v>4</v>
      </c>
      <c r="S52">
        <v>3</v>
      </c>
      <c r="T52">
        <v>4</v>
      </c>
      <c r="U52">
        <v>4</v>
      </c>
      <c r="V52">
        <v>4</v>
      </c>
      <c r="W52">
        <v>3</v>
      </c>
      <c r="X52">
        <v>4</v>
      </c>
      <c r="Y52">
        <v>4</v>
      </c>
      <c r="Z52" s="16" t="s">
        <v>86</v>
      </c>
      <c r="AE52" s="9" t="s">
        <v>33</v>
      </c>
    </row>
    <row r="53" spans="1:31" x14ac:dyDescent="0.2">
      <c r="A53" s="16" t="s">
        <v>132</v>
      </c>
      <c r="B53">
        <v>1</v>
      </c>
      <c r="C53">
        <f t="shared" ref="C53:Y53" si="15" xml:space="preserve"> C52 * 0.25</f>
        <v>1</v>
      </c>
      <c r="D53">
        <f t="shared" si="15"/>
        <v>1</v>
      </c>
      <c r="E53">
        <v>0</v>
      </c>
      <c r="F53">
        <f t="shared" si="15"/>
        <v>0.75</v>
      </c>
      <c r="G53">
        <f t="shared" si="15"/>
        <v>0.75</v>
      </c>
      <c r="H53">
        <f t="shared" si="15"/>
        <v>1</v>
      </c>
      <c r="I53">
        <f t="shared" si="15"/>
        <v>1</v>
      </c>
      <c r="J53">
        <v>0</v>
      </c>
      <c r="K53">
        <f t="shared" si="15"/>
        <v>1</v>
      </c>
      <c r="L53">
        <f t="shared" si="15"/>
        <v>1</v>
      </c>
      <c r="M53">
        <f t="shared" si="15"/>
        <v>1</v>
      </c>
      <c r="N53">
        <f t="shared" si="15"/>
        <v>0.5</v>
      </c>
      <c r="O53">
        <f t="shared" si="15"/>
        <v>1</v>
      </c>
      <c r="P53">
        <f t="shared" si="15"/>
        <v>0.75</v>
      </c>
      <c r="Q53">
        <f t="shared" si="15"/>
        <v>1</v>
      </c>
      <c r="R53">
        <f t="shared" si="15"/>
        <v>1</v>
      </c>
      <c r="S53">
        <f t="shared" si="15"/>
        <v>0.75</v>
      </c>
      <c r="T53">
        <f t="shared" si="15"/>
        <v>1</v>
      </c>
      <c r="U53">
        <f t="shared" si="15"/>
        <v>1</v>
      </c>
      <c r="V53">
        <f t="shared" si="15"/>
        <v>1</v>
      </c>
      <c r="W53">
        <f t="shared" si="15"/>
        <v>0.75</v>
      </c>
      <c r="X53">
        <f t="shared" si="15"/>
        <v>1</v>
      </c>
      <c r="Y53">
        <f t="shared" si="15"/>
        <v>1</v>
      </c>
      <c r="Z53" s="16"/>
      <c r="AE53" s="9"/>
    </row>
    <row r="54" spans="1:31" x14ac:dyDescent="0.2">
      <c r="A54" t="s">
        <v>85</v>
      </c>
      <c r="B54">
        <f xml:space="preserve"> B26 + B46 + B50 + B53</f>
        <v>23</v>
      </c>
      <c r="C54">
        <f t="shared" ref="C54:Y54" si="16" xml:space="preserve"> C26 + C46 + C50 + C53</f>
        <v>11.5</v>
      </c>
      <c r="D54">
        <f t="shared" si="16"/>
        <v>10.5</v>
      </c>
      <c r="E54">
        <f t="shared" si="16"/>
        <v>9.5</v>
      </c>
      <c r="F54">
        <f t="shared" si="16"/>
        <v>13.5</v>
      </c>
      <c r="G54">
        <f t="shared" si="16"/>
        <v>14.5</v>
      </c>
      <c r="H54">
        <f t="shared" si="16"/>
        <v>9.5</v>
      </c>
      <c r="I54">
        <f t="shared" si="16"/>
        <v>11</v>
      </c>
      <c r="J54">
        <f t="shared" si="16"/>
        <v>10.5</v>
      </c>
      <c r="K54">
        <f t="shared" si="16"/>
        <v>10.75</v>
      </c>
      <c r="L54">
        <f t="shared" si="16"/>
        <v>10.75</v>
      </c>
      <c r="M54">
        <f t="shared" si="16"/>
        <v>12.5</v>
      </c>
      <c r="N54">
        <f t="shared" si="16"/>
        <v>9</v>
      </c>
      <c r="O54">
        <f t="shared" si="16"/>
        <v>10.5</v>
      </c>
      <c r="P54">
        <f t="shared" si="16"/>
        <v>6.25</v>
      </c>
      <c r="Q54">
        <f t="shared" si="16"/>
        <v>12.5</v>
      </c>
      <c r="R54">
        <f t="shared" si="16"/>
        <v>10</v>
      </c>
      <c r="S54">
        <f t="shared" si="16"/>
        <v>6.5</v>
      </c>
      <c r="T54">
        <f t="shared" si="16"/>
        <v>11.25</v>
      </c>
      <c r="U54">
        <f t="shared" si="16"/>
        <v>11.25</v>
      </c>
      <c r="V54">
        <f t="shared" si="16"/>
        <v>10.75</v>
      </c>
      <c r="W54">
        <f t="shared" si="16"/>
        <v>9.5</v>
      </c>
      <c r="X54">
        <f t="shared" si="16"/>
        <v>12.75</v>
      </c>
      <c r="Y54">
        <f t="shared" si="16"/>
        <v>23</v>
      </c>
      <c r="Z54" t="s">
        <v>85</v>
      </c>
      <c r="AD54">
        <v>2</v>
      </c>
      <c r="AE54" t="s">
        <v>31</v>
      </c>
    </row>
    <row r="55" spans="1:31" x14ac:dyDescent="0.2">
      <c r="AD55">
        <v>2</v>
      </c>
      <c r="AE55" t="s">
        <v>32</v>
      </c>
    </row>
    <row r="56" spans="1:31" x14ac:dyDescent="0.2">
      <c r="A56" s="3"/>
      <c r="Z56" s="3"/>
      <c r="AD56">
        <f t="shared" ref="AD56" si="17" xml:space="preserve"> SUM(AD54:AD55)</f>
        <v>4</v>
      </c>
      <c r="AE56" s="3"/>
    </row>
    <row r="57" spans="1:31" ht="34" x14ac:dyDescent="0.2">
      <c r="A57" s="9"/>
      <c r="C57" t="s">
        <v>37</v>
      </c>
      <c r="D57" t="s">
        <v>88</v>
      </c>
      <c r="E57" t="s">
        <v>38</v>
      </c>
      <c r="F57" s="12" t="s">
        <v>89</v>
      </c>
      <c r="G57" t="s">
        <v>41</v>
      </c>
      <c r="H57" t="s">
        <v>42</v>
      </c>
      <c r="I57" s="12" t="s">
        <v>43</v>
      </c>
      <c r="J57" t="s">
        <v>90</v>
      </c>
      <c r="K57" t="s">
        <v>91</v>
      </c>
      <c r="L57" t="s">
        <v>44</v>
      </c>
      <c r="M57" t="s">
        <v>45</v>
      </c>
      <c r="N57" t="s">
        <v>39</v>
      </c>
      <c r="O57" t="s">
        <v>87</v>
      </c>
      <c r="P57" s="12" t="s">
        <v>46</v>
      </c>
      <c r="Q57" t="s">
        <v>47</v>
      </c>
      <c r="R57" t="s">
        <v>48</v>
      </c>
      <c r="S57" t="s">
        <v>40</v>
      </c>
      <c r="T57" t="s">
        <v>92</v>
      </c>
      <c r="U57" t="s">
        <v>49</v>
      </c>
      <c r="V57" t="s">
        <v>50</v>
      </c>
      <c r="W57" t="s">
        <v>93</v>
      </c>
      <c r="X57" t="s">
        <v>94</v>
      </c>
      <c r="Z57" s="9"/>
      <c r="AE57" s="9" t="s">
        <v>35</v>
      </c>
    </row>
    <row r="58" spans="1:31" x14ac:dyDescent="0.2">
      <c r="AD58">
        <v>1</v>
      </c>
      <c r="AE58" t="s">
        <v>28</v>
      </c>
    </row>
    <row r="59" spans="1:31" x14ac:dyDescent="0.2">
      <c r="AD59">
        <v>1</v>
      </c>
      <c r="AE59" t="s">
        <v>29</v>
      </c>
    </row>
    <row r="60" spans="1:31" x14ac:dyDescent="0.2">
      <c r="AD60">
        <v>1</v>
      </c>
      <c r="AE60" t="s">
        <v>30</v>
      </c>
    </row>
    <row r="61" spans="1:31" x14ac:dyDescent="0.2">
      <c r="AE61" t="s">
        <v>36</v>
      </c>
    </row>
    <row r="64" spans="1:31" x14ac:dyDescent="0.2">
      <c r="C64" s="8"/>
      <c r="D64" s="8"/>
      <c r="E64" s="8"/>
      <c r="F64" s="18"/>
      <c r="G64" s="8"/>
      <c r="H64" s="8"/>
      <c r="I64" s="8"/>
      <c r="J64" s="8"/>
      <c r="K64" s="8"/>
      <c r="L64" s="8"/>
      <c r="M64" s="8"/>
      <c r="N64" s="8"/>
      <c r="O64" s="8"/>
      <c r="P64" s="8"/>
      <c r="Q64" s="8"/>
      <c r="R64" s="8"/>
      <c r="S64" s="8"/>
      <c r="T64" s="8"/>
      <c r="U64" s="8"/>
      <c r="V64" s="8"/>
      <c r="W64" s="8"/>
      <c r="X64" s="8"/>
      <c r="AA64" s="8"/>
      <c r="AB64" s="8"/>
      <c r="AC64" s="8"/>
    </row>
    <row r="65" spans="1:30" x14ac:dyDescent="0.2">
      <c r="A65" s="9"/>
      <c r="C65" s="10"/>
      <c r="D65" s="10"/>
      <c r="E65" s="10"/>
      <c r="F65" s="13"/>
      <c r="G65" s="10"/>
      <c r="H65" s="10"/>
      <c r="I65" s="10"/>
      <c r="J65" s="10"/>
      <c r="K65" s="10"/>
      <c r="L65" s="10"/>
      <c r="M65" s="10"/>
      <c r="N65" s="10"/>
      <c r="O65" s="10"/>
      <c r="P65" s="10"/>
      <c r="Q65" s="10"/>
      <c r="R65" s="10"/>
      <c r="S65" s="10"/>
      <c r="T65" s="10"/>
      <c r="U65" s="10"/>
      <c r="V65" s="10"/>
      <c r="W65" s="10"/>
      <c r="X65" s="10"/>
      <c r="Z65" s="9"/>
      <c r="AA65" s="10"/>
      <c r="AB65" s="10"/>
      <c r="AC65" s="10"/>
    </row>
    <row r="68" spans="1:30" x14ac:dyDescent="0.2">
      <c r="E68" s="10"/>
      <c r="O68" s="10"/>
      <c r="Q68" s="10"/>
      <c r="R68" s="10"/>
      <c r="T68" s="10"/>
      <c r="AD68" s="11"/>
    </row>
    <row r="69" spans="1:30" x14ac:dyDescent="0.2">
      <c r="A69" s="14"/>
      <c r="B69" s="15"/>
      <c r="C69" s="14"/>
      <c r="D69" s="14"/>
      <c r="E69" s="14"/>
      <c r="F69" s="19"/>
      <c r="G69" s="14"/>
      <c r="H69" s="14"/>
      <c r="I69" s="14"/>
      <c r="J69" s="14"/>
      <c r="K69" s="14"/>
      <c r="L69" s="14"/>
      <c r="M69" s="14"/>
      <c r="N69" s="14"/>
      <c r="O69" s="14"/>
      <c r="P69" s="14"/>
      <c r="Q69" s="14"/>
      <c r="R69" s="14"/>
      <c r="S69" s="14"/>
      <c r="T69" s="14"/>
      <c r="U69" s="14"/>
      <c r="V69" s="14"/>
      <c r="W69" s="14"/>
      <c r="X69" s="14"/>
      <c r="Y69" s="15"/>
      <c r="Z69" s="14"/>
      <c r="AA69" s="14"/>
      <c r="AB69" s="14"/>
      <c r="AC69" s="14"/>
      <c r="AD69" s="11"/>
    </row>
  </sheetData>
  <conditionalFormatting sqref="B7:Y7">
    <cfRule type="cellIs" dxfId="53" priority="42" operator="greaterThan">
      <formula>2.5</formula>
    </cfRule>
    <cfRule type="cellIs" dxfId="52" priority="41" operator="between">
      <formula>1.1</formula>
      <formula>2.5</formula>
    </cfRule>
    <cfRule type="cellIs" dxfId="51" priority="43" operator="lessThan">
      <formula>1</formula>
    </cfRule>
  </conditionalFormatting>
  <conditionalFormatting sqref="B11:Y11">
    <cfRule type="cellIs" dxfId="50" priority="40" operator="greaterThan">
      <formula>1.74</formula>
    </cfRule>
    <cfRule type="cellIs" dxfId="49" priority="39" operator="lessThan">
      <formula>0.75</formula>
    </cfRule>
    <cfRule type="cellIs" dxfId="48" priority="38" operator="between">
      <formula>0.75</formula>
      <formula>1.5</formula>
    </cfRule>
  </conditionalFormatting>
  <conditionalFormatting sqref="B15:Y15">
    <cfRule type="cellIs" dxfId="47" priority="37" operator="greaterThan">
      <formula>0.9</formula>
    </cfRule>
    <cfRule type="cellIs" dxfId="46" priority="36" operator="lessThan">
      <formula>0.6</formula>
    </cfRule>
    <cfRule type="cellIs" dxfId="45" priority="35" operator="between">
      <formula>0.5</formula>
      <formula>1</formula>
    </cfRule>
  </conditionalFormatting>
  <conditionalFormatting sqref="B19:Y19">
    <cfRule type="cellIs" dxfId="44" priority="34" operator="greaterThan">
      <formula>0.9</formula>
    </cfRule>
    <cfRule type="cellIs" dxfId="43" priority="33" operator="lessThan">
      <formula>0.6</formula>
    </cfRule>
    <cfRule type="cellIs" dxfId="42" priority="32" operator="between">
      <formula>0.5</formula>
      <formula>1</formula>
    </cfRule>
  </conditionalFormatting>
  <conditionalFormatting sqref="B24:Y24">
    <cfRule type="cellIs" dxfId="41" priority="26" operator="between">
      <formula>1.1</formula>
      <formula>2</formula>
    </cfRule>
    <cfRule type="cellIs" dxfId="40" priority="31" operator="lessThan">
      <formula>1</formula>
    </cfRule>
    <cfRule type="cellIs" dxfId="39" priority="30" operator="greaterThan">
      <formula>2.5</formula>
    </cfRule>
    <cfRule type="cellIs" dxfId="38" priority="29" operator="between">
      <formula>1.1</formula>
      <formula>2.5</formula>
    </cfRule>
    <cfRule type="cellIs" dxfId="37" priority="28" operator="greaterThan">
      <formula>3</formula>
    </cfRule>
    <cfRule type="cellIs" dxfId="36" priority="27" operator="lessThan">
      <formula>1.5</formula>
    </cfRule>
  </conditionalFormatting>
  <conditionalFormatting sqref="B26:Y26">
    <cfRule type="cellIs" dxfId="35" priority="19" operator="between">
      <formula>6.1</formula>
      <formula>10.9</formula>
    </cfRule>
    <cfRule type="cellIs" dxfId="34" priority="20" operator="lessThan">
      <formula>6</formula>
    </cfRule>
    <cfRule type="cellIs" dxfId="33" priority="21" operator="greaterThan">
      <formula>11</formula>
    </cfRule>
  </conditionalFormatting>
  <conditionalFormatting sqref="B33:Y33">
    <cfRule type="cellIs" dxfId="32" priority="24" operator="lessThan">
      <formula>1.5</formula>
    </cfRule>
    <cfRule type="cellIs" dxfId="31" priority="25" operator="greaterThan">
      <formula>3</formula>
    </cfRule>
    <cfRule type="cellIs" dxfId="30" priority="23" operator="between">
      <formula>1.5</formula>
      <formula>3</formula>
    </cfRule>
  </conditionalFormatting>
  <conditionalFormatting sqref="B38:Y38">
    <cfRule type="cellIs" dxfId="29" priority="18" operator="greaterThan">
      <formula>1.49</formula>
    </cfRule>
    <cfRule type="cellIs" dxfId="28" priority="17" operator="lessThan">
      <formula>0.75</formula>
    </cfRule>
    <cfRule type="cellIs" dxfId="27" priority="16" stopIfTrue="1" operator="between">
      <formula>0.75</formula>
      <formula>1.4</formula>
    </cfRule>
  </conditionalFormatting>
  <conditionalFormatting sqref="B43:Y43">
    <cfRule type="cellIs" dxfId="26" priority="3" operator="greaterThan">
      <formula>1.49</formula>
    </cfRule>
    <cfRule type="cellIs" dxfId="25" priority="2" operator="lessThan">
      <formula>0.75</formula>
    </cfRule>
    <cfRule type="cellIs" dxfId="24" priority="1" stopIfTrue="1" operator="between">
      <formula>0.75</formula>
      <formula>1.4</formula>
    </cfRule>
  </conditionalFormatting>
  <conditionalFormatting sqref="B46:Y46">
    <cfRule type="cellIs" dxfId="23" priority="12" stopIfTrue="1" operator="greaterThan">
      <formula>5.5</formula>
    </cfRule>
    <cfRule type="cellIs" dxfId="22" priority="11" operator="lessThan">
      <formula xml:space="preserve"> 3</formula>
    </cfRule>
    <cfRule type="cellIs" dxfId="21" priority="10" operator="between">
      <formula>3</formula>
      <formula>5.5</formula>
    </cfRule>
  </conditionalFormatting>
  <conditionalFormatting sqref="B50:Y50">
    <cfRule type="cellIs" dxfId="20" priority="9" operator="greaterThan">
      <formula>1.5</formula>
    </cfRule>
    <cfRule type="cellIs" dxfId="19" priority="8" operator="lessThan">
      <formula>0.75</formula>
    </cfRule>
    <cfRule type="cellIs" dxfId="18" priority="7" stopIfTrue="1" operator="between">
      <formula>0.75</formula>
      <formula>1.5</formula>
    </cfRule>
  </conditionalFormatting>
  <conditionalFormatting sqref="B54:Y54">
    <cfRule type="cellIs" dxfId="17" priority="6" operator="lessThan">
      <formula>8</formula>
    </cfRule>
    <cfRule type="cellIs" dxfId="16" priority="5" operator="between">
      <formula>8.1</formula>
      <formula>12.5</formula>
    </cfRule>
    <cfRule type="cellIs" dxfId="15" priority="4" operator="greaterThan">
      <formula>12.6</formula>
    </cfRule>
  </conditionalFormatting>
  <pageMargins left="0.7" right="0.7" top="0.75" bottom="0.75" header="0.3" footer="0.3"/>
  <pageSetup paperSize="9" scale="85"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BC61-6FD2-DA4F-B53C-221A61B9FB55}">
  <dimension ref="A1:B82"/>
  <sheetViews>
    <sheetView tabSelected="1" workbookViewId="0">
      <selection activeCell="B1" sqref="B1"/>
    </sheetView>
  </sheetViews>
  <sheetFormatPr baseColWidth="10" defaultRowHeight="16" x14ac:dyDescent="0.2"/>
  <cols>
    <col min="1" max="1" width="96.6640625" customWidth="1"/>
  </cols>
  <sheetData>
    <row r="1" spans="1:2" ht="17" x14ac:dyDescent="0.2">
      <c r="A1" s="22" t="s">
        <v>130</v>
      </c>
    </row>
    <row r="2" spans="1:2" x14ac:dyDescent="0.2">
      <c r="A2" s="12"/>
    </row>
    <row r="3" spans="1:2" ht="17" x14ac:dyDescent="0.2">
      <c r="A3" s="21" t="s">
        <v>117</v>
      </c>
      <c r="B3" s="34">
        <v>0.1</v>
      </c>
    </row>
    <row r="4" spans="1:2" ht="17" x14ac:dyDescent="0.2">
      <c r="A4" s="12" t="s">
        <v>134</v>
      </c>
    </row>
    <row r="5" spans="1:2" ht="17" x14ac:dyDescent="0.2">
      <c r="A5" s="12" t="s">
        <v>52</v>
      </c>
    </row>
    <row r="6" spans="1:2" ht="17" x14ac:dyDescent="0.2">
      <c r="A6" s="12" t="s">
        <v>100</v>
      </c>
    </row>
    <row r="7" spans="1:2" ht="17" x14ac:dyDescent="0.2">
      <c r="A7" s="12" t="s">
        <v>114</v>
      </c>
    </row>
    <row r="8" spans="1:2" ht="17" x14ac:dyDescent="0.2">
      <c r="A8" s="12" t="s">
        <v>119</v>
      </c>
    </row>
    <row r="9" spans="1:2" x14ac:dyDescent="0.2">
      <c r="A9" s="12"/>
    </row>
    <row r="10" spans="1:2" ht="17" x14ac:dyDescent="0.2">
      <c r="A10" s="31" t="s">
        <v>101</v>
      </c>
      <c r="B10" s="34">
        <v>0.5</v>
      </c>
    </row>
    <row r="11" spans="1:2" x14ac:dyDescent="0.2">
      <c r="A11" s="12"/>
    </row>
    <row r="12" spans="1:2" ht="17" x14ac:dyDescent="0.2">
      <c r="A12" s="12" t="s">
        <v>102</v>
      </c>
    </row>
    <row r="13" spans="1:2" ht="17" x14ac:dyDescent="0.2">
      <c r="A13" s="12" t="s">
        <v>103</v>
      </c>
      <c r="B13" s="32"/>
    </row>
    <row r="14" spans="1:2" ht="17" x14ac:dyDescent="0.2">
      <c r="A14" s="12" t="s">
        <v>104</v>
      </c>
    </row>
    <row r="15" spans="1:2" ht="17" x14ac:dyDescent="0.2">
      <c r="A15" s="12" t="s">
        <v>53</v>
      </c>
    </row>
    <row r="16" spans="1:2" x14ac:dyDescent="0.2">
      <c r="A16" s="12"/>
    </row>
    <row r="17" spans="1:2" ht="17" x14ac:dyDescent="0.2">
      <c r="A17" s="12" t="s">
        <v>120</v>
      </c>
    </row>
    <row r="18" spans="1:2" x14ac:dyDescent="0.2">
      <c r="A18" s="12"/>
    </row>
    <row r="19" spans="1:2" ht="17" x14ac:dyDescent="0.2">
      <c r="A19" s="12" t="s">
        <v>118</v>
      </c>
    </row>
    <row r="20" spans="1:2" x14ac:dyDescent="0.2">
      <c r="A20" s="12"/>
    </row>
    <row r="21" spans="1:2" ht="17" x14ac:dyDescent="0.2">
      <c r="A21" s="12" t="s">
        <v>99</v>
      </c>
    </row>
    <row r="22" spans="1:2" ht="34" x14ac:dyDescent="0.2">
      <c r="A22" s="12" t="s">
        <v>122</v>
      </c>
    </row>
    <row r="23" spans="1:2" ht="17" x14ac:dyDescent="0.2">
      <c r="A23" s="12" t="s">
        <v>121</v>
      </c>
    </row>
    <row r="24" spans="1:2" x14ac:dyDescent="0.2">
      <c r="A24" s="12"/>
    </row>
    <row r="25" spans="1:2" ht="34" x14ac:dyDescent="0.2">
      <c r="A25" s="12" t="s">
        <v>129</v>
      </c>
    </row>
    <row r="26" spans="1:2" x14ac:dyDescent="0.2">
      <c r="A26" s="12"/>
    </row>
    <row r="27" spans="1:2" ht="17" x14ac:dyDescent="0.2">
      <c r="A27" s="33" t="s">
        <v>106</v>
      </c>
      <c r="B27" s="34">
        <v>0.4</v>
      </c>
    </row>
    <row r="28" spans="1:2" x14ac:dyDescent="0.2">
      <c r="A28" s="12"/>
    </row>
    <row r="29" spans="1:2" ht="17" x14ac:dyDescent="0.2">
      <c r="A29" s="12" t="s">
        <v>107</v>
      </c>
    </row>
    <row r="30" spans="1:2" ht="17" x14ac:dyDescent="0.2">
      <c r="A30" s="12" t="s">
        <v>115</v>
      </c>
    </row>
    <row r="31" spans="1:2" ht="17" x14ac:dyDescent="0.2">
      <c r="A31" s="12" t="s">
        <v>108</v>
      </c>
    </row>
    <row r="32" spans="1:2" ht="17" x14ac:dyDescent="0.2">
      <c r="A32" s="12" t="s">
        <v>116</v>
      </c>
    </row>
    <row r="33" spans="1:1" ht="17" x14ac:dyDescent="0.2">
      <c r="A33" s="12" t="s">
        <v>110</v>
      </c>
    </row>
    <row r="34" spans="1:1" x14ac:dyDescent="0.2">
      <c r="A34" s="12"/>
    </row>
    <row r="35" spans="1:1" ht="17" x14ac:dyDescent="0.2">
      <c r="A35" s="12" t="s">
        <v>54</v>
      </c>
    </row>
    <row r="36" spans="1:1" x14ac:dyDescent="0.2">
      <c r="A36" s="12"/>
    </row>
    <row r="37" spans="1:1" ht="17" x14ac:dyDescent="0.2">
      <c r="A37" s="12" t="s">
        <v>123</v>
      </c>
    </row>
    <row r="38" spans="1:1" ht="17" x14ac:dyDescent="0.2">
      <c r="A38" s="12" t="s">
        <v>124</v>
      </c>
    </row>
    <row r="39" spans="1:1" ht="34" x14ac:dyDescent="0.2">
      <c r="A39" s="12" t="s">
        <v>226</v>
      </c>
    </row>
    <row r="40" spans="1:1" ht="17" x14ac:dyDescent="0.2">
      <c r="A40" s="12" t="s">
        <v>109</v>
      </c>
    </row>
    <row r="41" spans="1:1" ht="34" x14ac:dyDescent="0.2">
      <c r="A41" s="12" t="s">
        <v>126</v>
      </c>
    </row>
    <row r="42" spans="1:1" ht="34" x14ac:dyDescent="0.2">
      <c r="A42" s="12" t="s">
        <v>125</v>
      </c>
    </row>
    <row r="44" spans="1:1" ht="34" x14ac:dyDescent="0.2">
      <c r="A44" s="12" t="s">
        <v>127</v>
      </c>
    </row>
    <row r="46" spans="1:1" ht="34" x14ac:dyDescent="0.2">
      <c r="A46" s="12" t="s">
        <v>128</v>
      </c>
    </row>
    <row r="48" spans="1:1" x14ac:dyDescent="0.2">
      <c r="A48" s="5"/>
    </row>
    <row r="49" spans="1:1" ht="34" x14ac:dyDescent="0.2">
      <c r="A49" s="12" t="s">
        <v>225</v>
      </c>
    </row>
    <row r="69" spans="1:1" x14ac:dyDescent="0.2">
      <c r="A69" t="s">
        <v>111</v>
      </c>
    </row>
    <row r="70" spans="1:1" x14ac:dyDescent="0.2">
      <c r="A70" t="s">
        <v>112</v>
      </c>
    </row>
    <row r="71" spans="1:1" x14ac:dyDescent="0.2">
      <c r="A71" t="s">
        <v>113</v>
      </c>
    </row>
    <row r="72" spans="1:1" x14ac:dyDescent="0.2">
      <c r="A72" t="s">
        <v>57</v>
      </c>
    </row>
    <row r="73" spans="1:1" x14ac:dyDescent="0.2">
      <c r="A73" t="s">
        <v>58</v>
      </c>
    </row>
    <row r="74" spans="1:1" x14ac:dyDescent="0.2">
      <c r="A74" t="s">
        <v>59</v>
      </c>
    </row>
    <row r="75" spans="1:1" x14ac:dyDescent="0.2">
      <c r="A75" t="s">
        <v>60</v>
      </c>
    </row>
    <row r="76" spans="1:1" x14ac:dyDescent="0.2">
      <c r="A76" t="s">
        <v>61</v>
      </c>
    </row>
    <row r="77" spans="1:1" x14ac:dyDescent="0.2">
      <c r="A77" t="s">
        <v>62</v>
      </c>
    </row>
    <row r="78" spans="1:1" x14ac:dyDescent="0.2">
      <c r="A78" t="s">
        <v>63</v>
      </c>
    </row>
    <row r="79" spans="1:1" x14ac:dyDescent="0.2">
      <c r="A79" t="s">
        <v>64</v>
      </c>
    </row>
    <row r="81" spans="1:1" x14ac:dyDescent="0.2">
      <c r="A81" t="s">
        <v>65</v>
      </c>
    </row>
    <row r="82" spans="1:1" x14ac:dyDescent="0.2">
      <c r="A82" t="s">
        <v>66</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09B6-4519-204F-9172-4A5CA218D833}">
  <sheetPr>
    <pageSetUpPr fitToPage="1"/>
  </sheetPr>
  <dimension ref="A2:O41"/>
  <sheetViews>
    <sheetView topLeftCell="A22" zoomScale="106" zoomScaleNormal="179" workbookViewId="0">
      <selection activeCell="Q4" sqref="Q4"/>
    </sheetView>
  </sheetViews>
  <sheetFormatPr baseColWidth="10" defaultRowHeight="16" x14ac:dyDescent="0.2"/>
  <cols>
    <col min="1" max="1" width="76.83203125" customWidth="1"/>
    <col min="2" max="2" width="8" customWidth="1"/>
    <col min="15" max="15" width="8" customWidth="1"/>
  </cols>
  <sheetData>
    <row r="2" spans="1:15" ht="29" customHeight="1" x14ac:dyDescent="0.2">
      <c r="A2" s="23" t="s">
        <v>218</v>
      </c>
      <c r="B2" s="30" t="s">
        <v>222</v>
      </c>
      <c r="C2" s="30"/>
      <c r="D2" s="30"/>
      <c r="E2" s="30"/>
      <c r="F2" s="30"/>
      <c r="G2" s="30"/>
      <c r="H2" s="30"/>
      <c r="I2" s="30"/>
      <c r="J2" s="30"/>
      <c r="K2" s="30"/>
      <c r="L2" s="30"/>
      <c r="M2" s="30"/>
      <c r="N2" s="30"/>
      <c r="O2" t="s">
        <v>0</v>
      </c>
    </row>
    <row r="3" spans="1:15" x14ac:dyDescent="0.2">
      <c r="A3" s="23"/>
      <c r="E3" s="12"/>
      <c r="I3" s="12"/>
    </row>
    <row r="4" spans="1:15" x14ac:dyDescent="0.2">
      <c r="A4" s="23" t="s">
        <v>195</v>
      </c>
      <c r="E4" s="12"/>
      <c r="I4" s="12"/>
    </row>
    <row r="5" spans="1:15" x14ac:dyDescent="0.2">
      <c r="A5" t="s">
        <v>219</v>
      </c>
      <c r="B5">
        <v>0.25</v>
      </c>
      <c r="E5" s="12"/>
      <c r="I5" s="12"/>
    </row>
    <row r="6" spans="1:15" x14ac:dyDescent="0.2">
      <c r="A6" t="s">
        <v>196</v>
      </c>
      <c r="B6">
        <v>0.25</v>
      </c>
      <c r="C6">
        <v>2</v>
      </c>
      <c r="D6">
        <v>2</v>
      </c>
      <c r="E6" s="12">
        <v>3</v>
      </c>
      <c r="F6">
        <v>0</v>
      </c>
      <c r="G6">
        <v>2</v>
      </c>
      <c r="H6">
        <v>2</v>
      </c>
      <c r="I6" s="12">
        <v>2</v>
      </c>
      <c r="J6">
        <v>3</v>
      </c>
      <c r="K6">
        <v>3</v>
      </c>
      <c r="L6">
        <v>3</v>
      </c>
      <c r="M6">
        <v>3</v>
      </c>
      <c r="N6">
        <v>2</v>
      </c>
      <c r="O6">
        <v>0.25</v>
      </c>
    </row>
    <row r="7" spans="1:15" x14ac:dyDescent="0.2">
      <c r="C7">
        <f xml:space="preserve"> C5 * B5 + C6 * B6</f>
        <v>0.5</v>
      </c>
      <c r="D7">
        <f xml:space="preserve"> D5 * B5 + D6 * B6</f>
        <v>0.5</v>
      </c>
      <c r="E7">
        <f xml:space="preserve"> E5 * B5 + E6 * B6</f>
        <v>0.75</v>
      </c>
      <c r="F7">
        <f xml:space="preserve"> F5 * B5 + F6 * B6</f>
        <v>0</v>
      </c>
      <c r="G7">
        <f xml:space="preserve"> G5 * B5 + G6 * B6</f>
        <v>0.5</v>
      </c>
      <c r="H7">
        <f xml:space="preserve"> H5 * B5 + H6 * B6</f>
        <v>0.5</v>
      </c>
      <c r="I7">
        <f xml:space="preserve"> I5 * B5 + I6 * B6</f>
        <v>0.5</v>
      </c>
      <c r="J7">
        <f xml:space="preserve"> J5 * B5 + J6 * B6</f>
        <v>0.75</v>
      </c>
      <c r="K7">
        <f xml:space="preserve"> K5 * B5 + K6 * B6</f>
        <v>0.75</v>
      </c>
      <c r="L7">
        <f xml:space="preserve"> L5 * B5 + L6 * B6</f>
        <v>0.75</v>
      </c>
      <c r="M7">
        <f xml:space="preserve"> M5 * B5 + M6 * B6</f>
        <v>0.75</v>
      </c>
      <c r="N7">
        <f xml:space="preserve"> N5 * B5 + N6 * B6</f>
        <v>0.5</v>
      </c>
      <c r="O7">
        <v>0.25</v>
      </c>
    </row>
    <row r="8" spans="1:15" x14ac:dyDescent="0.2">
      <c r="E8" s="12"/>
      <c r="I8" s="12"/>
    </row>
    <row r="9" spans="1:15" x14ac:dyDescent="0.2">
      <c r="A9" s="2" t="s">
        <v>135</v>
      </c>
      <c r="B9" t="s">
        <v>220</v>
      </c>
    </row>
    <row r="10" spans="1:15" x14ac:dyDescent="0.2">
      <c r="A10" t="s">
        <v>197</v>
      </c>
      <c r="B10">
        <v>0.5</v>
      </c>
      <c r="C10">
        <v>1.5</v>
      </c>
      <c r="D10">
        <v>1</v>
      </c>
      <c r="E10">
        <v>1</v>
      </c>
      <c r="F10">
        <v>0.75</v>
      </c>
      <c r="G10">
        <v>1</v>
      </c>
      <c r="H10">
        <v>1.5</v>
      </c>
      <c r="I10">
        <v>1.5</v>
      </c>
      <c r="J10">
        <v>1.5</v>
      </c>
      <c r="K10">
        <v>1.5</v>
      </c>
      <c r="L10">
        <v>1.5</v>
      </c>
      <c r="M10">
        <v>1.5</v>
      </c>
      <c r="N10">
        <v>1</v>
      </c>
    </row>
    <row r="11" spans="1:15" x14ac:dyDescent="0.2">
      <c r="A11" t="s">
        <v>198</v>
      </c>
      <c r="B11">
        <v>0.5</v>
      </c>
      <c r="C11">
        <v>1.5</v>
      </c>
      <c r="D11">
        <v>1.5</v>
      </c>
      <c r="E11">
        <v>1.5</v>
      </c>
      <c r="F11">
        <v>0.75</v>
      </c>
      <c r="G11">
        <v>1.5</v>
      </c>
      <c r="H11">
        <v>1.5</v>
      </c>
      <c r="I11">
        <v>1</v>
      </c>
      <c r="J11">
        <v>1.5</v>
      </c>
      <c r="K11">
        <v>1.5</v>
      </c>
      <c r="L11">
        <v>1.5</v>
      </c>
      <c r="M11">
        <v>1.5</v>
      </c>
      <c r="N11">
        <v>1.5</v>
      </c>
    </row>
    <row r="12" spans="1:15" x14ac:dyDescent="0.2">
      <c r="A12" t="s">
        <v>199</v>
      </c>
      <c r="B12">
        <v>0.5</v>
      </c>
      <c r="C12">
        <v>1.5</v>
      </c>
      <c r="D12">
        <v>1</v>
      </c>
      <c r="E12">
        <v>1</v>
      </c>
      <c r="F12">
        <v>0.75</v>
      </c>
      <c r="G12">
        <v>1</v>
      </c>
      <c r="H12">
        <v>1.25</v>
      </c>
      <c r="I12">
        <v>1</v>
      </c>
      <c r="J12">
        <v>1</v>
      </c>
      <c r="K12">
        <v>1.5</v>
      </c>
      <c r="L12">
        <v>1.25</v>
      </c>
      <c r="M12">
        <v>1.5</v>
      </c>
      <c r="N12">
        <v>1</v>
      </c>
    </row>
    <row r="13" spans="1:15" x14ac:dyDescent="0.2">
      <c r="A13" t="s">
        <v>221</v>
      </c>
      <c r="B13">
        <v>0.5</v>
      </c>
      <c r="C13">
        <v>2</v>
      </c>
      <c r="D13">
        <v>1</v>
      </c>
      <c r="E13">
        <v>0.5</v>
      </c>
      <c r="F13">
        <v>0.5</v>
      </c>
      <c r="G13">
        <v>1.1499999999999999</v>
      </c>
      <c r="H13">
        <v>1.25</v>
      </c>
      <c r="I13">
        <v>1</v>
      </c>
      <c r="J13">
        <v>1</v>
      </c>
      <c r="K13">
        <v>1.5</v>
      </c>
      <c r="L13">
        <v>1</v>
      </c>
      <c r="M13">
        <v>1.5</v>
      </c>
      <c r="N13">
        <v>1</v>
      </c>
    </row>
    <row r="14" spans="1:15" x14ac:dyDescent="0.2">
      <c r="A14" t="s">
        <v>200</v>
      </c>
      <c r="B14">
        <v>0.5</v>
      </c>
      <c r="C14">
        <v>1.25</v>
      </c>
      <c r="D14">
        <v>0.75</v>
      </c>
      <c r="E14">
        <v>1</v>
      </c>
      <c r="F14">
        <v>0.75</v>
      </c>
      <c r="G14">
        <v>1</v>
      </c>
      <c r="H14">
        <v>1</v>
      </c>
      <c r="I14">
        <v>1</v>
      </c>
      <c r="J14">
        <v>1</v>
      </c>
      <c r="K14">
        <v>1</v>
      </c>
      <c r="L14">
        <v>1.25</v>
      </c>
      <c r="M14">
        <v>1.25</v>
      </c>
      <c r="N14">
        <v>1</v>
      </c>
    </row>
    <row r="15" spans="1:15" x14ac:dyDescent="0.2">
      <c r="A15" t="s">
        <v>201</v>
      </c>
      <c r="B15">
        <v>0.5</v>
      </c>
      <c r="C15" s="10">
        <v>1.25</v>
      </c>
      <c r="D15" s="10">
        <v>1</v>
      </c>
      <c r="E15" s="10">
        <v>1.5</v>
      </c>
      <c r="F15" s="10">
        <v>0.5</v>
      </c>
      <c r="G15" s="10">
        <v>1</v>
      </c>
      <c r="H15" s="10">
        <v>1</v>
      </c>
      <c r="I15" s="10">
        <v>1.5</v>
      </c>
      <c r="J15" s="10">
        <v>1</v>
      </c>
      <c r="K15" s="10">
        <v>1</v>
      </c>
      <c r="L15" s="10">
        <v>1</v>
      </c>
      <c r="M15" s="10">
        <v>1.5</v>
      </c>
      <c r="N15" s="10">
        <v>1</v>
      </c>
      <c r="O15" s="10"/>
    </row>
    <row r="16" spans="1:15" x14ac:dyDescent="0.2">
      <c r="C16">
        <f t="shared" ref="C16:D16" si="0" xml:space="preserve"> SUM(C10:C15) * 0.5</f>
        <v>4.5</v>
      </c>
      <c r="D16">
        <f t="shared" si="0"/>
        <v>3.125</v>
      </c>
      <c r="E16">
        <f xml:space="preserve"> SUM(E10:E15) * 0.5</f>
        <v>3.25</v>
      </c>
      <c r="F16">
        <f t="shared" ref="F16:O16" si="1" xml:space="preserve"> SUM(F10:F15) * 0.5</f>
        <v>2</v>
      </c>
      <c r="G16">
        <f t="shared" si="1"/>
        <v>3.3250000000000002</v>
      </c>
      <c r="H16">
        <f t="shared" si="1"/>
        <v>3.75</v>
      </c>
      <c r="I16">
        <f t="shared" si="1"/>
        <v>3.5</v>
      </c>
      <c r="J16">
        <f t="shared" si="1"/>
        <v>3.5</v>
      </c>
      <c r="K16">
        <f t="shared" si="1"/>
        <v>4</v>
      </c>
      <c r="L16">
        <f t="shared" si="1"/>
        <v>3.75</v>
      </c>
      <c r="M16">
        <f t="shared" si="1"/>
        <v>4.375</v>
      </c>
      <c r="N16">
        <f t="shared" si="1"/>
        <v>3.25</v>
      </c>
      <c r="O16">
        <f t="shared" si="1"/>
        <v>0</v>
      </c>
    </row>
    <row r="17" spans="1:15" x14ac:dyDescent="0.2">
      <c r="A17" s="2" t="s">
        <v>202</v>
      </c>
    </row>
    <row r="18" spans="1:15" x14ac:dyDescent="0.2">
      <c r="A18" t="s">
        <v>203</v>
      </c>
      <c r="B18">
        <v>0.5</v>
      </c>
      <c r="C18">
        <v>0.25</v>
      </c>
      <c r="D18">
        <v>0.25</v>
      </c>
      <c r="E18">
        <v>0.25</v>
      </c>
      <c r="F18">
        <v>0</v>
      </c>
      <c r="G18">
        <v>0</v>
      </c>
      <c r="H18">
        <v>0</v>
      </c>
      <c r="I18">
        <v>0.25</v>
      </c>
      <c r="J18">
        <v>0.25</v>
      </c>
      <c r="K18">
        <v>0.5</v>
      </c>
      <c r="L18">
        <v>0.25</v>
      </c>
      <c r="M18">
        <v>0.25</v>
      </c>
      <c r="N18">
        <v>0.25</v>
      </c>
    </row>
    <row r="19" spans="1:15" x14ac:dyDescent="0.2">
      <c r="A19" t="s">
        <v>204</v>
      </c>
      <c r="B19">
        <v>0.5</v>
      </c>
      <c r="C19">
        <v>0.25</v>
      </c>
      <c r="D19">
        <v>0.25</v>
      </c>
      <c r="E19">
        <v>0.25</v>
      </c>
      <c r="F19">
        <v>0.25</v>
      </c>
      <c r="G19">
        <v>0.25</v>
      </c>
      <c r="H19">
        <v>0.25</v>
      </c>
      <c r="I19">
        <v>0.25</v>
      </c>
      <c r="J19">
        <v>0.25</v>
      </c>
      <c r="K19">
        <v>0.75</v>
      </c>
      <c r="L19">
        <v>0.25</v>
      </c>
      <c r="M19">
        <v>0.25</v>
      </c>
      <c r="N19">
        <v>0.25</v>
      </c>
    </row>
    <row r="20" spans="1:15" x14ac:dyDescent="0.2">
      <c r="A20" t="s">
        <v>205</v>
      </c>
      <c r="B20">
        <v>0.5</v>
      </c>
      <c r="C20">
        <v>0.25</v>
      </c>
      <c r="D20">
        <v>0.25</v>
      </c>
      <c r="E20">
        <v>0.25</v>
      </c>
      <c r="F20">
        <v>0.25</v>
      </c>
      <c r="G20">
        <v>0.25</v>
      </c>
      <c r="H20">
        <v>0.25</v>
      </c>
      <c r="I20">
        <v>0.25</v>
      </c>
      <c r="J20">
        <v>0.25</v>
      </c>
      <c r="K20">
        <v>0.25</v>
      </c>
      <c r="L20">
        <v>0.25</v>
      </c>
      <c r="M20">
        <v>0.25</v>
      </c>
      <c r="N20">
        <v>0.25</v>
      </c>
    </row>
    <row r="21" spans="1:15" x14ac:dyDescent="0.2">
      <c r="C21">
        <f t="shared" ref="C21:D21" si="2" xml:space="preserve"> SUM(C18:C20) * 0.5</f>
        <v>0.375</v>
      </c>
      <c r="D21">
        <f t="shared" si="2"/>
        <v>0.375</v>
      </c>
      <c r="E21">
        <f xml:space="preserve"> SUM(E18:E20) * 0.5</f>
        <v>0.375</v>
      </c>
      <c r="F21">
        <f t="shared" ref="F21:N21" si="3" xml:space="preserve"> SUM(F18:F20) * 0.5</f>
        <v>0.25</v>
      </c>
      <c r="G21">
        <f t="shared" si="3"/>
        <v>0.25</v>
      </c>
      <c r="H21">
        <f t="shared" si="3"/>
        <v>0.25</v>
      </c>
      <c r="I21">
        <f t="shared" si="3"/>
        <v>0.375</v>
      </c>
      <c r="J21">
        <f t="shared" si="3"/>
        <v>0.375</v>
      </c>
      <c r="K21">
        <f t="shared" si="3"/>
        <v>0.75</v>
      </c>
      <c r="L21">
        <f t="shared" si="3"/>
        <v>0.375</v>
      </c>
      <c r="M21">
        <f t="shared" si="3"/>
        <v>0.375</v>
      </c>
      <c r="N21">
        <f t="shared" si="3"/>
        <v>0.375</v>
      </c>
    </row>
    <row r="22" spans="1:15" x14ac:dyDescent="0.2">
      <c r="A22" s="2" t="s">
        <v>206</v>
      </c>
    </row>
    <row r="23" spans="1:15" x14ac:dyDescent="0.2">
      <c r="A23" t="s">
        <v>207</v>
      </c>
      <c r="B23">
        <v>0.5</v>
      </c>
      <c r="C23">
        <v>0</v>
      </c>
      <c r="D23">
        <v>1.25</v>
      </c>
      <c r="E23">
        <v>0</v>
      </c>
      <c r="F23">
        <v>0</v>
      </c>
      <c r="G23">
        <v>0.75</v>
      </c>
      <c r="H23">
        <v>0.75</v>
      </c>
      <c r="I23">
        <v>0</v>
      </c>
      <c r="J23">
        <v>1.25</v>
      </c>
      <c r="K23">
        <v>0</v>
      </c>
      <c r="L23">
        <v>0.75</v>
      </c>
      <c r="M23">
        <v>0.75</v>
      </c>
      <c r="N23">
        <v>1.25</v>
      </c>
    </row>
    <row r="24" spans="1:15" x14ac:dyDescent="0.2">
      <c r="A24" t="s">
        <v>208</v>
      </c>
      <c r="B24">
        <v>0.5</v>
      </c>
      <c r="C24">
        <v>0</v>
      </c>
      <c r="D24" s="12">
        <v>0</v>
      </c>
      <c r="E24">
        <v>0</v>
      </c>
      <c r="F24" s="12">
        <v>0</v>
      </c>
      <c r="G24" s="12">
        <v>0.25</v>
      </c>
      <c r="H24" s="12">
        <v>0.25</v>
      </c>
      <c r="I24">
        <v>0</v>
      </c>
      <c r="J24">
        <v>1.25</v>
      </c>
      <c r="K24">
        <v>0</v>
      </c>
      <c r="L24" s="12">
        <v>0.25</v>
      </c>
      <c r="M24">
        <v>0</v>
      </c>
      <c r="N24">
        <v>1.25</v>
      </c>
    </row>
    <row r="25" spans="1:15" x14ac:dyDescent="0.2">
      <c r="C25">
        <f xml:space="preserve"> SUM(C23:C24) * 0.5</f>
        <v>0</v>
      </c>
      <c r="D25">
        <f t="shared" ref="D25:N25" si="4" xml:space="preserve"> SUM(D23:D24) * 0.5</f>
        <v>0.625</v>
      </c>
      <c r="E25">
        <f t="shared" si="4"/>
        <v>0</v>
      </c>
      <c r="F25">
        <f t="shared" si="4"/>
        <v>0</v>
      </c>
      <c r="G25">
        <f t="shared" si="4"/>
        <v>0.5</v>
      </c>
      <c r="H25">
        <f t="shared" si="4"/>
        <v>0.5</v>
      </c>
      <c r="I25">
        <f t="shared" si="4"/>
        <v>0</v>
      </c>
      <c r="J25">
        <f t="shared" si="4"/>
        <v>1.25</v>
      </c>
      <c r="K25">
        <f t="shared" si="4"/>
        <v>0</v>
      </c>
      <c r="L25">
        <f t="shared" si="4"/>
        <v>0.5</v>
      </c>
      <c r="M25">
        <f t="shared" si="4"/>
        <v>0.375</v>
      </c>
      <c r="N25">
        <f t="shared" si="4"/>
        <v>1.25</v>
      </c>
    </row>
    <row r="27" spans="1:15" x14ac:dyDescent="0.2">
      <c r="A27" t="s">
        <v>209</v>
      </c>
      <c r="B27">
        <v>0.75</v>
      </c>
      <c r="C27">
        <v>1.5</v>
      </c>
      <c r="D27" s="12">
        <v>1.75</v>
      </c>
      <c r="E27">
        <v>0.5</v>
      </c>
      <c r="F27" s="12">
        <v>1.5</v>
      </c>
      <c r="G27" s="12">
        <v>1.5</v>
      </c>
      <c r="H27" s="12">
        <v>1</v>
      </c>
      <c r="I27">
        <v>1.75</v>
      </c>
      <c r="J27">
        <v>1</v>
      </c>
      <c r="K27">
        <v>1</v>
      </c>
      <c r="L27">
        <v>2</v>
      </c>
      <c r="M27">
        <v>1.5</v>
      </c>
      <c r="N27">
        <v>2</v>
      </c>
    </row>
    <row r="28" spans="1:15" x14ac:dyDescent="0.2">
      <c r="A28" t="s">
        <v>211</v>
      </c>
      <c r="B28">
        <v>0.75</v>
      </c>
      <c r="C28">
        <v>0.5</v>
      </c>
      <c r="D28">
        <v>1.25</v>
      </c>
      <c r="E28">
        <v>0.5</v>
      </c>
      <c r="F28">
        <v>1</v>
      </c>
      <c r="G28">
        <v>1</v>
      </c>
      <c r="H28">
        <v>1.5</v>
      </c>
      <c r="I28">
        <v>1.75</v>
      </c>
      <c r="J28">
        <v>1</v>
      </c>
      <c r="K28">
        <v>1</v>
      </c>
      <c r="L28">
        <v>2</v>
      </c>
      <c r="M28">
        <v>1.25</v>
      </c>
      <c r="N28">
        <v>2</v>
      </c>
    </row>
    <row r="29" spans="1:15" x14ac:dyDescent="0.2">
      <c r="A29" t="s">
        <v>210</v>
      </c>
      <c r="B29">
        <v>0.5</v>
      </c>
      <c r="C29" s="10">
        <v>0</v>
      </c>
      <c r="D29" s="10">
        <v>1.25</v>
      </c>
      <c r="E29" s="10">
        <v>0.5</v>
      </c>
      <c r="F29" s="10">
        <v>1</v>
      </c>
      <c r="G29" s="10">
        <v>1</v>
      </c>
      <c r="H29" s="10">
        <v>1</v>
      </c>
      <c r="I29" s="10">
        <v>1.25</v>
      </c>
      <c r="J29" s="10">
        <v>1</v>
      </c>
      <c r="K29" s="10">
        <v>0</v>
      </c>
      <c r="L29" s="10">
        <v>2</v>
      </c>
      <c r="M29" s="10">
        <v>1</v>
      </c>
      <c r="N29" s="10">
        <v>1</v>
      </c>
      <c r="O29" s="10"/>
    </row>
    <row r="30" spans="1:15" x14ac:dyDescent="0.2">
      <c r="A30" t="s">
        <v>212</v>
      </c>
      <c r="B30">
        <v>0.5</v>
      </c>
      <c r="C30">
        <v>0</v>
      </c>
      <c r="D30">
        <v>1.25</v>
      </c>
      <c r="E30">
        <v>0.5</v>
      </c>
      <c r="F30">
        <v>1</v>
      </c>
      <c r="G30">
        <v>0.5</v>
      </c>
      <c r="H30">
        <v>1.5</v>
      </c>
      <c r="I30">
        <v>1.25</v>
      </c>
      <c r="J30">
        <v>0</v>
      </c>
      <c r="K30">
        <v>1</v>
      </c>
      <c r="L30">
        <v>1.5</v>
      </c>
      <c r="M30">
        <v>1.5</v>
      </c>
      <c r="N30">
        <v>1</v>
      </c>
    </row>
    <row r="31" spans="1:15" x14ac:dyDescent="0.2">
      <c r="A31" t="s">
        <v>213</v>
      </c>
      <c r="B31">
        <v>0.5</v>
      </c>
      <c r="C31">
        <v>0</v>
      </c>
      <c r="D31">
        <v>0</v>
      </c>
      <c r="E31">
        <v>0</v>
      </c>
      <c r="F31">
        <v>1</v>
      </c>
      <c r="G31">
        <v>0.5</v>
      </c>
      <c r="H31">
        <v>1</v>
      </c>
      <c r="I31">
        <v>0</v>
      </c>
      <c r="J31">
        <v>0</v>
      </c>
      <c r="K31">
        <v>0</v>
      </c>
      <c r="L31">
        <v>1</v>
      </c>
      <c r="M31">
        <v>0</v>
      </c>
      <c r="N31">
        <v>0</v>
      </c>
    </row>
    <row r="32" spans="1:15" x14ac:dyDescent="0.2">
      <c r="C32">
        <f xml:space="preserve"> (C29 + C30+ C31)*0.5 +(C27 + C28) *0.75</f>
        <v>1.5</v>
      </c>
      <c r="D32">
        <f t="shared" ref="D32:N32" si="5" xml:space="preserve"> (D29 + D30+ D31)*0.5 +(D27 + D28) *0.75</f>
        <v>3.5</v>
      </c>
      <c r="E32">
        <f t="shared" si="5"/>
        <v>1.25</v>
      </c>
      <c r="F32">
        <f t="shared" si="5"/>
        <v>3.375</v>
      </c>
      <c r="G32">
        <f t="shared" si="5"/>
        <v>2.875</v>
      </c>
      <c r="H32">
        <f t="shared" si="5"/>
        <v>3.625</v>
      </c>
      <c r="I32">
        <f t="shared" si="5"/>
        <v>3.875</v>
      </c>
      <c r="J32">
        <f t="shared" si="5"/>
        <v>2</v>
      </c>
      <c r="K32">
        <f t="shared" si="5"/>
        <v>2</v>
      </c>
      <c r="L32">
        <f t="shared" si="5"/>
        <v>5.25</v>
      </c>
      <c r="M32">
        <f t="shared" si="5"/>
        <v>3.3125</v>
      </c>
      <c r="N32">
        <f t="shared" si="5"/>
        <v>4</v>
      </c>
    </row>
    <row r="33" spans="1:14" x14ac:dyDescent="0.2">
      <c r="A33" s="2" t="s">
        <v>214</v>
      </c>
    </row>
    <row r="34" spans="1:14" x14ac:dyDescent="0.2">
      <c r="A34" t="s">
        <v>215</v>
      </c>
      <c r="B34">
        <v>1</v>
      </c>
      <c r="C34">
        <v>2</v>
      </c>
      <c r="D34">
        <v>2</v>
      </c>
      <c r="E34">
        <v>2</v>
      </c>
      <c r="F34">
        <v>2</v>
      </c>
      <c r="G34">
        <v>2</v>
      </c>
      <c r="H34">
        <v>2</v>
      </c>
      <c r="I34">
        <v>2</v>
      </c>
      <c r="J34">
        <v>1</v>
      </c>
      <c r="K34">
        <v>2</v>
      </c>
      <c r="L34">
        <v>2</v>
      </c>
      <c r="M34">
        <v>0.25</v>
      </c>
      <c r="N34">
        <v>2</v>
      </c>
    </row>
    <row r="35" spans="1:14" x14ac:dyDescent="0.2">
      <c r="A35" t="s">
        <v>216</v>
      </c>
      <c r="B35">
        <v>0.5</v>
      </c>
      <c r="C35">
        <v>2</v>
      </c>
      <c r="D35">
        <v>2</v>
      </c>
      <c r="E35">
        <v>2</v>
      </c>
      <c r="F35">
        <v>2</v>
      </c>
      <c r="G35">
        <v>2</v>
      </c>
      <c r="H35">
        <v>2</v>
      </c>
      <c r="I35">
        <v>2</v>
      </c>
      <c r="J35">
        <v>2</v>
      </c>
      <c r="K35">
        <v>2</v>
      </c>
      <c r="L35">
        <v>2</v>
      </c>
      <c r="M35">
        <v>0</v>
      </c>
      <c r="N35">
        <v>2</v>
      </c>
    </row>
    <row r="36" spans="1:14" x14ac:dyDescent="0.2">
      <c r="A36" t="s">
        <v>217</v>
      </c>
      <c r="B36">
        <v>0.5</v>
      </c>
      <c r="C36">
        <v>0</v>
      </c>
      <c r="D36">
        <v>0</v>
      </c>
      <c r="E36">
        <v>1.5</v>
      </c>
      <c r="F36">
        <v>2</v>
      </c>
      <c r="G36">
        <v>0.5</v>
      </c>
      <c r="H36">
        <v>0.25</v>
      </c>
      <c r="I36">
        <v>2</v>
      </c>
      <c r="J36">
        <v>0</v>
      </c>
      <c r="K36">
        <v>0.75</v>
      </c>
      <c r="L36">
        <v>2</v>
      </c>
      <c r="M36">
        <v>0</v>
      </c>
      <c r="N36">
        <v>0</v>
      </c>
    </row>
    <row r="37" spans="1:14" x14ac:dyDescent="0.2">
      <c r="A37" s="3"/>
      <c r="C37">
        <f xml:space="preserve"> C34 + (C35 + C36) * 0.5</f>
        <v>3</v>
      </c>
      <c r="D37">
        <f t="shared" ref="D37:N37" si="6" xml:space="preserve"> D34 + (D35 + D36) * 0.5</f>
        <v>3</v>
      </c>
      <c r="E37">
        <f t="shared" si="6"/>
        <v>3.75</v>
      </c>
      <c r="F37">
        <f t="shared" si="6"/>
        <v>4</v>
      </c>
      <c r="G37">
        <f t="shared" si="6"/>
        <v>3.25</v>
      </c>
      <c r="H37">
        <f t="shared" si="6"/>
        <v>3.125</v>
      </c>
      <c r="I37">
        <f t="shared" si="6"/>
        <v>4</v>
      </c>
      <c r="J37">
        <f t="shared" si="6"/>
        <v>2</v>
      </c>
      <c r="K37">
        <f t="shared" si="6"/>
        <v>3.375</v>
      </c>
      <c r="L37">
        <f t="shared" si="6"/>
        <v>4</v>
      </c>
      <c r="M37">
        <f t="shared" si="6"/>
        <v>0.25</v>
      </c>
      <c r="N37">
        <f t="shared" si="6"/>
        <v>3</v>
      </c>
    </row>
    <row r="38" spans="1:14" x14ac:dyDescent="0.2">
      <c r="A38" s="3"/>
    </row>
    <row r="39" spans="1:14" x14ac:dyDescent="0.2">
      <c r="B39">
        <f xml:space="preserve"> SUM(B5:B36)</f>
        <v>11</v>
      </c>
      <c r="C39">
        <f xml:space="preserve"> C16 + C21 + C25 + C32 +C37</f>
        <v>9.375</v>
      </c>
      <c r="D39">
        <f t="shared" ref="D39:N39" si="7" xml:space="preserve"> D16 + D21 + D25 + D32 +D37</f>
        <v>10.625</v>
      </c>
      <c r="E39">
        <f t="shared" si="7"/>
        <v>8.625</v>
      </c>
      <c r="F39">
        <f t="shared" si="7"/>
        <v>9.625</v>
      </c>
      <c r="G39">
        <f t="shared" si="7"/>
        <v>10.199999999999999</v>
      </c>
      <c r="H39">
        <f t="shared" si="7"/>
        <v>11.25</v>
      </c>
      <c r="I39">
        <f t="shared" si="7"/>
        <v>11.75</v>
      </c>
      <c r="J39">
        <f t="shared" si="7"/>
        <v>9.125</v>
      </c>
      <c r="K39">
        <f t="shared" si="7"/>
        <v>10.125</v>
      </c>
      <c r="L39">
        <f t="shared" si="7"/>
        <v>13.875</v>
      </c>
      <c r="M39">
        <f t="shared" si="7"/>
        <v>8.6875</v>
      </c>
      <c r="N39">
        <f t="shared" si="7"/>
        <v>11.875</v>
      </c>
    </row>
    <row r="41" spans="1:14" x14ac:dyDescent="0.2">
      <c r="C41">
        <f xml:space="preserve"> C39 + C7</f>
        <v>9.875</v>
      </c>
      <c r="D41">
        <f t="shared" ref="D41:N41" si="8" xml:space="preserve"> D39 + D7</f>
        <v>11.125</v>
      </c>
      <c r="E41">
        <f t="shared" si="8"/>
        <v>9.375</v>
      </c>
      <c r="F41">
        <f t="shared" si="8"/>
        <v>9.625</v>
      </c>
      <c r="G41">
        <f t="shared" si="8"/>
        <v>10.7</v>
      </c>
      <c r="H41">
        <f t="shared" si="8"/>
        <v>11.75</v>
      </c>
      <c r="I41">
        <f t="shared" si="8"/>
        <v>12.25</v>
      </c>
      <c r="J41">
        <f t="shared" si="8"/>
        <v>9.875</v>
      </c>
      <c r="K41">
        <f t="shared" si="8"/>
        <v>10.875</v>
      </c>
      <c r="L41">
        <f t="shared" si="8"/>
        <v>14.625</v>
      </c>
      <c r="M41">
        <f t="shared" si="8"/>
        <v>9.4375</v>
      </c>
      <c r="N41">
        <f t="shared" si="8"/>
        <v>12.375</v>
      </c>
    </row>
  </sheetData>
  <mergeCells count="1">
    <mergeCell ref="B2:N2"/>
  </mergeCells>
  <pageMargins left="0.7" right="0.7" top="0.75" bottom="0.75" header="0.3" footer="0.3"/>
  <pageSetup paperSize="9" scale="85"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BA277-F792-CF48-9ACB-9804A80EB619}">
  <sheetPr>
    <pageSetUpPr fitToPage="1"/>
  </sheetPr>
  <dimension ref="A2:U79"/>
  <sheetViews>
    <sheetView topLeftCell="A27" zoomScale="106" zoomScaleNormal="179" workbookViewId="0">
      <selection activeCell="A64" sqref="A64"/>
    </sheetView>
  </sheetViews>
  <sheetFormatPr baseColWidth="10" defaultRowHeight="16" x14ac:dyDescent="0.2"/>
  <cols>
    <col min="1" max="1" width="76.83203125" customWidth="1"/>
    <col min="2" max="2" width="8" customWidth="1"/>
    <col min="15" max="15" width="8" customWidth="1"/>
    <col min="16" max="16" width="72.6640625" customWidth="1"/>
    <col min="20" max="20" width="15.83203125" customWidth="1"/>
    <col min="21" max="21" width="72.6640625" customWidth="1"/>
  </cols>
  <sheetData>
    <row r="2" spans="1:21" ht="34" x14ac:dyDescent="0.2">
      <c r="A2" s="23" t="s">
        <v>218</v>
      </c>
      <c r="B2" t="s">
        <v>0</v>
      </c>
      <c r="C2" t="s">
        <v>41</v>
      </c>
      <c r="D2" t="s">
        <v>42</v>
      </c>
      <c r="E2" s="12" t="s">
        <v>43</v>
      </c>
      <c r="F2" t="s">
        <v>90</v>
      </c>
      <c r="G2" t="s">
        <v>44</v>
      </c>
      <c r="H2" t="s">
        <v>45</v>
      </c>
      <c r="I2" s="12" t="s">
        <v>46</v>
      </c>
      <c r="J2" t="s">
        <v>47</v>
      </c>
      <c r="K2" t="s">
        <v>48</v>
      </c>
      <c r="L2" t="s">
        <v>49</v>
      </c>
      <c r="M2" t="s">
        <v>50</v>
      </c>
      <c r="N2" t="s">
        <v>51</v>
      </c>
      <c r="O2" t="s">
        <v>0</v>
      </c>
      <c r="P2" t="s">
        <v>2</v>
      </c>
      <c r="T2" t="s">
        <v>0</v>
      </c>
      <c r="U2" t="s">
        <v>2</v>
      </c>
    </row>
    <row r="3" spans="1:21" x14ac:dyDescent="0.2">
      <c r="A3" s="23"/>
      <c r="E3" s="12"/>
      <c r="I3" s="12"/>
    </row>
    <row r="4" spans="1:21" x14ac:dyDescent="0.2">
      <c r="A4" s="23" t="s">
        <v>195</v>
      </c>
      <c r="E4" s="12"/>
      <c r="I4" s="12"/>
    </row>
    <row r="5" spans="1:21" x14ac:dyDescent="0.2">
      <c r="A5" t="s">
        <v>219</v>
      </c>
      <c r="B5">
        <v>0.25</v>
      </c>
      <c r="E5" s="12"/>
      <c r="I5" s="12"/>
    </row>
    <row r="6" spans="1:21" x14ac:dyDescent="0.2">
      <c r="A6" t="s">
        <v>196</v>
      </c>
      <c r="B6">
        <v>0.25</v>
      </c>
      <c r="C6">
        <v>2</v>
      </c>
      <c r="D6">
        <v>2</v>
      </c>
      <c r="E6" s="12">
        <v>3</v>
      </c>
      <c r="F6">
        <v>0</v>
      </c>
      <c r="G6">
        <v>2</v>
      </c>
      <c r="H6">
        <v>2</v>
      </c>
      <c r="I6" s="12">
        <v>2</v>
      </c>
      <c r="J6">
        <v>3</v>
      </c>
      <c r="K6">
        <v>3</v>
      </c>
      <c r="L6">
        <v>3</v>
      </c>
      <c r="M6">
        <v>3</v>
      </c>
      <c r="N6">
        <v>2</v>
      </c>
      <c r="O6">
        <v>0.25</v>
      </c>
    </row>
    <row r="7" spans="1:21" x14ac:dyDescent="0.2">
      <c r="C7">
        <f xml:space="preserve"> C5 * B5 + C6 * B6</f>
        <v>0.5</v>
      </c>
      <c r="D7">
        <f xml:space="preserve"> D5 * B5 + D6 * B6</f>
        <v>0.5</v>
      </c>
      <c r="E7">
        <f xml:space="preserve"> E5 * B5 + E6 * B6</f>
        <v>0.75</v>
      </c>
      <c r="F7">
        <f xml:space="preserve"> F5 * B5 + F6 * B6</f>
        <v>0</v>
      </c>
      <c r="G7">
        <f xml:space="preserve"> G5 * B5 + G6 * B6</f>
        <v>0.5</v>
      </c>
      <c r="H7">
        <f xml:space="preserve"> H5 * B5 + H6 * B6</f>
        <v>0.5</v>
      </c>
      <c r="I7">
        <f xml:space="preserve"> I5 * B5 + I6 * B6</f>
        <v>0.5</v>
      </c>
      <c r="J7">
        <f xml:space="preserve"> J5 * B5 + J6 * B6</f>
        <v>0.75</v>
      </c>
      <c r="K7">
        <f xml:space="preserve"> K5 * B5 + K6 * B6</f>
        <v>0.75</v>
      </c>
      <c r="L7">
        <f xml:space="preserve"> L5 * B5 + L6 * B6</f>
        <v>0.75</v>
      </c>
      <c r="M7">
        <f xml:space="preserve"> M5 * B5 + M6 * B6</f>
        <v>0.75</v>
      </c>
      <c r="N7">
        <f xml:space="preserve"> N5 * B5 + N6 * B6</f>
        <v>0.5</v>
      </c>
      <c r="O7">
        <v>0.25</v>
      </c>
    </row>
    <row r="8" spans="1:21" x14ac:dyDescent="0.2">
      <c r="E8" s="12"/>
      <c r="I8" s="12"/>
    </row>
    <row r="9" spans="1:21" x14ac:dyDescent="0.2">
      <c r="A9" s="2" t="s">
        <v>135</v>
      </c>
      <c r="B9" t="s">
        <v>220</v>
      </c>
      <c r="P9" s="2" t="s">
        <v>55</v>
      </c>
      <c r="T9" s="1"/>
      <c r="U9" s="2" t="s">
        <v>3</v>
      </c>
    </row>
    <row r="10" spans="1:21" x14ac:dyDescent="0.2">
      <c r="A10" t="s">
        <v>197</v>
      </c>
      <c r="B10">
        <v>0.5</v>
      </c>
      <c r="C10">
        <v>1.5</v>
      </c>
      <c r="D10">
        <v>1</v>
      </c>
      <c r="E10">
        <v>1</v>
      </c>
      <c r="F10">
        <v>0.75</v>
      </c>
      <c r="G10">
        <v>1</v>
      </c>
      <c r="H10">
        <v>1.5</v>
      </c>
      <c r="I10">
        <v>1.5</v>
      </c>
      <c r="J10">
        <v>1.5</v>
      </c>
      <c r="K10">
        <v>1.5</v>
      </c>
      <c r="L10">
        <v>1.5</v>
      </c>
      <c r="M10">
        <v>1.5</v>
      </c>
      <c r="N10">
        <v>1</v>
      </c>
      <c r="P10" t="s">
        <v>56</v>
      </c>
      <c r="T10">
        <v>1</v>
      </c>
      <c r="U10" t="s">
        <v>1</v>
      </c>
    </row>
    <row r="11" spans="1:21" x14ac:dyDescent="0.2">
      <c r="A11" t="s">
        <v>198</v>
      </c>
      <c r="B11">
        <v>0.5</v>
      </c>
      <c r="C11">
        <v>1.5</v>
      </c>
      <c r="D11">
        <v>1.5</v>
      </c>
      <c r="E11">
        <v>1.5</v>
      </c>
      <c r="F11">
        <v>0.75</v>
      </c>
      <c r="G11">
        <v>1.5</v>
      </c>
      <c r="H11">
        <v>1.5</v>
      </c>
      <c r="I11">
        <v>1</v>
      </c>
      <c r="J11">
        <v>1.5</v>
      </c>
      <c r="K11">
        <v>1.5</v>
      </c>
      <c r="L11">
        <v>1.5</v>
      </c>
      <c r="M11">
        <v>1.5</v>
      </c>
      <c r="N11">
        <v>1.5</v>
      </c>
    </row>
    <row r="12" spans="1:21" x14ac:dyDescent="0.2">
      <c r="A12" t="s">
        <v>199</v>
      </c>
      <c r="B12">
        <v>0.5</v>
      </c>
      <c r="C12">
        <v>1.5</v>
      </c>
      <c r="D12">
        <v>1</v>
      </c>
      <c r="E12">
        <v>1</v>
      </c>
      <c r="F12">
        <v>0.75</v>
      </c>
      <c r="G12">
        <v>1</v>
      </c>
      <c r="H12">
        <v>1.25</v>
      </c>
      <c r="I12">
        <v>1</v>
      </c>
      <c r="J12">
        <v>1</v>
      </c>
      <c r="K12">
        <v>1.5</v>
      </c>
      <c r="L12">
        <v>1.25</v>
      </c>
      <c r="M12">
        <v>1.5</v>
      </c>
      <c r="N12">
        <v>1</v>
      </c>
    </row>
    <row r="13" spans="1:21" x14ac:dyDescent="0.2">
      <c r="A13" t="s">
        <v>221</v>
      </c>
      <c r="B13">
        <v>0.5</v>
      </c>
      <c r="C13">
        <v>2</v>
      </c>
      <c r="D13">
        <v>1</v>
      </c>
      <c r="E13">
        <v>0.5</v>
      </c>
      <c r="F13">
        <v>0.5</v>
      </c>
      <c r="G13">
        <v>1.1499999999999999</v>
      </c>
      <c r="H13">
        <v>1.25</v>
      </c>
      <c r="I13">
        <v>1</v>
      </c>
      <c r="J13">
        <v>1</v>
      </c>
      <c r="K13">
        <v>1.5</v>
      </c>
      <c r="L13">
        <v>1</v>
      </c>
      <c r="M13">
        <v>1.5</v>
      </c>
      <c r="N13">
        <v>1</v>
      </c>
      <c r="P13" t="s">
        <v>67</v>
      </c>
      <c r="T13">
        <v>1</v>
      </c>
      <c r="U13" t="s">
        <v>5</v>
      </c>
    </row>
    <row r="14" spans="1:21" x14ac:dyDescent="0.2">
      <c r="A14" t="s">
        <v>200</v>
      </c>
      <c r="B14">
        <v>0.5</v>
      </c>
      <c r="C14">
        <v>1.25</v>
      </c>
      <c r="D14">
        <v>0.75</v>
      </c>
      <c r="E14">
        <v>1</v>
      </c>
      <c r="F14">
        <v>0.75</v>
      </c>
      <c r="G14">
        <v>1</v>
      </c>
      <c r="H14">
        <v>1</v>
      </c>
      <c r="I14">
        <v>1</v>
      </c>
      <c r="J14">
        <v>1</v>
      </c>
      <c r="K14">
        <v>1</v>
      </c>
      <c r="L14">
        <v>1.25</v>
      </c>
      <c r="M14">
        <v>1.25</v>
      </c>
      <c r="N14">
        <v>1</v>
      </c>
    </row>
    <row r="15" spans="1:21" x14ac:dyDescent="0.2">
      <c r="A15" t="s">
        <v>201</v>
      </c>
      <c r="B15">
        <v>0.5</v>
      </c>
      <c r="C15" s="10">
        <v>1.25</v>
      </c>
      <c r="D15" s="10">
        <v>1</v>
      </c>
      <c r="E15" s="10">
        <v>1.5</v>
      </c>
      <c r="F15" s="10">
        <v>0.5</v>
      </c>
      <c r="G15" s="10">
        <v>1</v>
      </c>
      <c r="H15" s="10">
        <v>1</v>
      </c>
      <c r="I15" s="10">
        <v>1.5</v>
      </c>
      <c r="J15" s="10">
        <v>1</v>
      </c>
      <c r="K15" s="10">
        <v>1</v>
      </c>
      <c r="L15" s="10">
        <v>1</v>
      </c>
      <c r="M15" s="10">
        <v>1.5</v>
      </c>
      <c r="N15" s="10">
        <v>1</v>
      </c>
      <c r="O15" s="10"/>
    </row>
    <row r="16" spans="1:21" x14ac:dyDescent="0.2">
      <c r="C16">
        <f t="shared" ref="C16:D16" si="0" xml:space="preserve"> SUM(C10:C15) * 0.5</f>
        <v>4.5</v>
      </c>
      <c r="D16">
        <f t="shared" si="0"/>
        <v>3.125</v>
      </c>
      <c r="E16">
        <f xml:space="preserve"> SUM(E10:E15) * 0.5</f>
        <v>3.25</v>
      </c>
      <c r="F16">
        <f t="shared" ref="F16:O16" si="1" xml:space="preserve"> SUM(F10:F15) * 0.5</f>
        <v>2</v>
      </c>
      <c r="G16">
        <f t="shared" si="1"/>
        <v>3.3250000000000002</v>
      </c>
      <c r="H16">
        <f t="shared" si="1"/>
        <v>3.75</v>
      </c>
      <c r="I16">
        <f t="shared" si="1"/>
        <v>3.5</v>
      </c>
      <c r="J16">
        <f t="shared" si="1"/>
        <v>3.5</v>
      </c>
      <c r="K16">
        <f t="shared" si="1"/>
        <v>4</v>
      </c>
      <c r="L16">
        <f t="shared" si="1"/>
        <v>3.75</v>
      </c>
      <c r="M16">
        <f t="shared" si="1"/>
        <v>4.375</v>
      </c>
      <c r="N16">
        <f t="shared" si="1"/>
        <v>3.25</v>
      </c>
      <c r="O16">
        <f t="shared" si="1"/>
        <v>0</v>
      </c>
      <c r="P16" t="s">
        <v>68</v>
      </c>
      <c r="T16" s="4"/>
      <c r="U16" s="6" t="s">
        <v>4</v>
      </c>
    </row>
    <row r="17" spans="1:21" x14ac:dyDescent="0.2">
      <c r="A17" s="2" t="s">
        <v>202</v>
      </c>
      <c r="P17" t="s">
        <v>69</v>
      </c>
      <c r="U17" s="9" t="s">
        <v>6</v>
      </c>
    </row>
    <row r="18" spans="1:21" x14ac:dyDescent="0.2">
      <c r="A18" t="s">
        <v>203</v>
      </c>
      <c r="B18">
        <v>0.5</v>
      </c>
      <c r="C18">
        <v>0.25</v>
      </c>
      <c r="D18">
        <v>0.25</v>
      </c>
      <c r="E18">
        <v>0.25</v>
      </c>
      <c r="F18">
        <v>0</v>
      </c>
      <c r="G18">
        <v>0</v>
      </c>
      <c r="H18">
        <v>0</v>
      </c>
      <c r="I18">
        <v>0.25</v>
      </c>
      <c r="J18">
        <v>0.25</v>
      </c>
      <c r="K18">
        <v>0.5</v>
      </c>
      <c r="L18">
        <v>0.25</v>
      </c>
      <c r="M18">
        <v>0.25</v>
      </c>
      <c r="N18">
        <v>0.25</v>
      </c>
      <c r="T18">
        <v>0.5</v>
      </c>
      <c r="U18" t="s">
        <v>8</v>
      </c>
    </row>
    <row r="19" spans="1:21" x14ac:dyDescent="0.2">
      <c r="A19" t="s">
        <v>204</v>
      </c>
      <c r="B19">
        <v>0.5</v>
      </c>
      <c r="C19">
        <v>0.25</v>
      </c>
      <c r="D19">
        <v>0.25</v>
      </c>
      <c r="E19">
        <v>0.25</v>
      </c>
      <c r="F19">
        <v>0.25</v>
      </c>
      <c r="G19">
        <v>0.25</v>
      </c>
      <c r="H19">
        <v>0.25</v>
      </c>
      <c r="I19">
        <v>0.25</v>
      </c>
      <c r="J19">
        <v>0.25</v>
      </c>
      <c r="K19">
        <v>0.75</v>
      </c>
      <c r="L19">
        <v>0.25</v>
      </c>
      <c r="M19">
        <v>0.25</v>
      </c>
      <c r="N19">
        <v>0.25</v>
      </c>
      <c r="T19">
        <v>2</v>
      </c>
      <c r="U19" t="s">
        <v>9</v>
      </c>
    </row>
    <row r="20" spans="1:21" x14ac:dyDescent="0.2">
      <c r="A20" t="s">
        <v>205</v>
      </c>
      <c r="B20">
        <v>0.5</v>
      </c>
      <c r="C20">
        <v>0.25</v>
      </c>
      <c r="D20">
        <v>0.25</v>
      </c>
      <c r="E20">
        <v>0.25</v>
      </c>
      <c r="F20">
        <v>0.25</v>
      </c>
      <c r="G20">
        <v>0.25</v>
      </c>
      <c r="H20">
        <v>0.25</v>
      </c>
      <c r="I20">
        <v>0.25</v>
      </c>
      <c r="J20">
        <v>0.25</v>
      </c>
      <c r="K20">
        <v>0.25</v>
      </c>
      <c r="L20">
        <v>0.25</v>
      </c>
      <c r="M20">
        <v>0.25</v>
      </c>
      <c r="N20">
        <v>0.25</v>
      </c>
      <c r="P20" t="s">
        <v>70</v>
      </c>
      <c r="T20">
        <v>1.5</v>
      </c>
      <c r="U20" t="s">
        <v>10</v>
      </c>
    </row>
    <row r="21" spans="1:21" x14ac:dyDescent="0.2">
      <c r="C21">
        <f t="shared" ref="C21:D21" si="2" xml:space="preserve"> SUM(C18:C20) * 0.5</f>
        <v>0.375</v>
      </c>
      <c r="D21">
        <f t="shared" si="2"/>
        <v>0.375</v>
      </c>
      <c r="E21">
        <f xml:space="preserve"> SUM(E18:E20) * 0.5</f>
        <v>0.375</v>
      </c>
      <c r="F21">
        <f t="shared" ref="F21:N21" si="3" xml:space="preserve"> SUM(F18:F20) * 0.5</f>
        <v>0.25</v>
      </c>
      <c r="G21">
        <f t="shared" si="3"/>
        <v>0.25</v>
      </c>
      <c r="H21">
        <f t="shared" si="3"/>
        <v>0.25</v>
      </c>
      <c r="I21">
        <f t="shared" si="3"/>
        <v>0.375</v>
      </c>
      <c r="J21">
        <f t="shared" si="3"/>
        <v>0.375</v>
      </c>
      <c r="K21">
        <f t="shared" si="3"/>
        <v>0.75</v>
      </c>
      <c r="L21">
        <f t="shared" si="3"/>
        <v>0.375</v>
      </c>
      <c r="M21">
        <f t="shared" si="3"/>
        <v>0.375</v>
      </c>
      <c r="N21">
        <f t="shared" si="3"/>
        <v>0.375</v>
      </c>
      <c r="P21" t="s">
        <v>71</v>
      </c>
      <c r="T21">
        <f xml:space="preserve"> SUM(T18:T20)</f>
        <v>4</v>
      </c>
    </row>
    <row r="22" spans="1:21" x14ac:dyDescent="0.2">
      <c r="A22" s="2" t="s">
        <v>206</v>
      </c>
      <c r="U22" s="9" t="s">
        <v>20</v>
      </c>
    </row>
    <row r="23" spans="1:21" x14ac:dyDescent="0.2">
      <c r="A23" t="s">
        <v>207</v>
      </c>
      <c r="B23">
        <v>0.5</v>
      </c>
      <c r="C23">
        <v>0</v>
      </c>
      <c r="D23">
        <v>1.25</v>
      </c>
      <c r="E23">
        <v>0</v>
      </c>
      <c r="F23">
        <v>0</v>
      </c>
      <c r="G23">
        <v>0.75</v>
      </c>
      <c r="H23">
        <v>0.75</v>
      </c>
      <c r="I23">
        <v>0</v>
      </c>
      <c r="J23">
        <v>1.25</v>
      </c>
      <c r="K23">
        <v>0</v>
      </c>
      <c r="L23">
        <v>0.75</v>
      </c>
      <c r="M23">
        <v>0.75</v>
      </c>
      <c r="N23">
        <v>1.25</v>
      </c>
      <c r="U23" s="9"/>
    </row>
    <row r="24" spans="1:21" x14ac:dyDescent="0.2">
      <c r="A24" t="s">
        <v>208</v>
      </c>
      <c r="B24">
        <v>0.5</v>
      </c>
      <c r="C24">
        <v>0</v>
      </c>
      <c r="D24" s="12">
        <v>0</v>
      </c>
      <c r="E24">
        <v>0</v>
      </c>
      <c r="F24" s="12">
        <v>0</v>
      </c>
      <c r="G24" s="12">
        <v>0.25</v>
      </c>
      <c r="H24" s="12">
        <v>0.25</v>
      </c>
      <c r="I24">
        <v>0</v>
      </c>
      <c r="J24">
        <v>1.25</v>
      </c>
      <c r="K24">
        <v>0</v>
      </c>
      <c r="L24" s="12">
        <v>0.25</v>
      </c>
      <c r="M24">
        <v>0</v>
      </c>
      <c r="N24">
        <v>1.25</v>
      </c>
      <c r="P24" t="s">
        <v>72</v>
      </c>
      <c r="T24">
        <v>1</v>
      </c>
      <c r="U24" t="s">
        <v>11</v>
      </c>
    </row>
    <row r="25" spans="1:21" x14ac:dyDescent="0.2">
      <c r="C25">
        <f xml:space="preserve"> SUM(C23:C24) * 0.5</f>
        <v>0</v>
      </c>
      <c r="D25">
        <f t="shared" ref="D25:N25" si="4" xml:space="preserve"> SUM(D23:D24) * 0.5</f>
        <v>0.625</v>
      </c>
      <c r="E25">
        <f t="shared" si="4"/>
        <v>0</v>
      </c>
      <c r="F25">
        <f t="shared" si="4"/>
        <v>0</v>
      </c>
      <c r="G25">
        <f t="shared" si="4"/>
        <v>0.5</v>
      </c>
      <c r="H25">
        <f t="shared" si="4"/>
        <v>0.5</v>
      </c>
      <c r="I25">
        <f t="shared" si="4"/>
        <v>0</v>
      </c>
      <c r="J25">
        <f t="shared" si="4"/>
        <v>1.25</v>
      </c>
      <c r="K25">
        <f t="shared" si="4"/>
        <v>0</v>
      </c>
      <c r="L25">
        <f t="shared" si="4"/>
        <v>0.5</v>
      </c>
      <c r="M25">
        <f t="shared" si="4"/>
        <v>0.375</v>
      </c>
      <c r="N25">
        <f t="shared" si="4"/>
        <v>1.25</v>
      </c>
    </row>
    <row r="27" spans="1:21" x14ac:dyDescent="0.2">
      <c r="A27" t="s">
        <v>209</v>
      </c>
      <c r="B27">
        <v>0.75</v>
      </c>
      <c r="C27">
        <v>1.5</v>
      </c>
      <c r="D27" s="12">
        <v>1.75</v>
      </c>
      <c r="E27">
        <v>0.5</v>
      </c>
      <c r="F27" s="12">
        <v>1.5</v>
      </c>
      <c r="G27" s="12">
        <v>1.5</v>
      </c>
      <c r="H27" s="12">
        <v>1</v>
      </c>
      <c r="I27">
        <v>1.75</v>
      </c>
      <c r="J27">
        <v>1</v>
      </c>
      <c r="K27">
        <v>1</v>
      </c>
      <c r="L27">
        <v>2</v>
      </c>
      <c r="M27">
        <v>1.5</v>
      </c>
      <c r="N27">
        <v>2</v>
      </c>
      <c r="P27" t="s">
        <v>73</v>
      </c>
      <c r="T27">
        <v>1</v>
      </c>
      <c r="U27" t="s">
        <v>12</v>
      </c>
    </row>
    <row r="28" spans="1:21" x14ac:dyDescent="0.2">
      <c r="A28" t="s">
        <v>211</v>
      </c>
      <c r="B28">
        <v>0.75</v>
      </c>
      <c r="C28">
        <v>0.5</v>
      </c>
      <c r="D28">
        <v>1.25</v>
      </c>
      <c r="E28">
        <v>0.5</v>
      </c>
      <c r="F28">
        <v>1</v>
      </c>
      <c r="G28">
        <v>1</v>
      </c>
      <c r="H28">
        <v>1.5</v>
      </c>
      <c r="I28">
        <v>1.75</v>
      </c>
      <c r="J28">
        <v>1</v>
      </c>
      <c r="K28">
        <v>1</v>
      </c>
      <c r="L28">
        <v>2</v>
      </c>
      <c r="M28">
        <v>1.25</v>
      </c>
      <c r="N28">
        <v>2</v>
      </c>
      <c r="T28">
        <v>1</v>
      </c>
      <c r="U28" t="s">
        <v>13</v>
      </c>
    </row>
    <row r="29" spans="1:21" x14ac:dyDescent="0.2">
      <c r="A29" t="s">
        <v>210</v>
      </c>
      <c r="B29">
        <v>0.5</v>
      </c>
      <c r="C29" s="10">
        <v>0</v>
      </c>
      <c r="D29" s="10">
        <v>1.25</v>
      </c>
      <c r="E29" s="10">
        <v>0.5</v>
      </c>
      <c r="F29" s="10">
        <v>1</v>
      </c>
      <c r="G29" s="10">
        <v>1</v>
      </c>
      <c r="H29" s="10">
        <v>1</v>
      </c>
      <c r="I29" s="10">
        <v>1.25</v>
      </c>
      <c r="J29" s="10">
        <v>1</v>
      </c>
      <c r="K29" s="10">
        <v>0</v>
      </c>
      <c r="L29" s="10">
        <v>2</v>
      </c>
      <c r="M29" s="10">
        <v>1</v>
      </c>
      <c r="N29" s="10">
        <v>1</v>
      </c>
      <c r="O29" s="10"/>
    </row>
    <row r="30" spans="1:21" x14ac:dyDescent="0.2">
      <c r="A30" t="s">
        <v>212</v>
      </c>
      <c r="B30">
        <v>0.5</v>
      </c>
      <c r="C30">
        <v>0</v>
      </c>
      <c r="D30">
        <v>1.25</v>
      </c>
      <c r="E30">
        <v>0.5</v>
      </c>
      <c r="F30">
        <v>1</v>
      </c>
      <c r="G30">
        <v>0.5</v>
      </c>
      <c r="H30">
        <v>1.5</v>
      </c>
      <c r="I30">
        <v>1.25</v>
      </c>
      <c r="J30">
        <v>0</v>
      </c>
      <c r="K30">
        <v>1</v>
      </c>
      <c r="L30">
        <v>1.5</v>
      </c>
      <c r="M30">
        <v>1.5</v>
      </c>
      <c r="N30">
        <v>1</v>
      </c>
      <c r="P30" t="s">
        <v>74</v>
      </c>
      <c r="T30">
        <f t="shared" ref="T30" si="5" xml:space="preserve"> SUM(T24:T28)</f>
        <v>3</v>
      </c>
    </row>
    <row r="31" spans="1:21" x14ac:dyDescent="0.2">
      <c r="A31" t="s">
        <v>213</v>
      </c>
      <c r="B31">
        <v>0.5</v>
      </c>
      <c r="C31">
        <v>0</v>
      </c>
      <c r="D31">
        <v>0</v>
      </c>
      <c r="E31">
        <v>0</v>
      </c>
      <c r="F31">
        <v>1</v>
      </c>
      <c r="G31">
        <v>0.5</v>
      </c>
      <c r="H31">
        <v>1</v>
      </c>
      <c r="I31">
        <v>0</v>
      </c>
      <c r="J31">
        <v>0</v>
      </c>
      <c r="K31">
        <v>0</v>
      </c>
      <c r="L31">
        <v>1</v>
      </c>
      <c r="M31">
        <v>0</v>
      </c>
      <c r="N31">
        <v>0</v>
      </c>
      <c r="P31" t="s">
        <v>75</v>
      </c>
    </row>
    <row r="32" spans="1:21" x14ac:dyDescent="0.2">
      <c r="C32">
        <f xml:space="preserve"> (C29 + C30+ C31)*0.5 +(C27 + C28) *0.75</f>
        <v>1.5</v>
      </c>
      <c r="D32">
        <f t="shared" ref="D32:N32" si="6" xml:space="preserve"> (D29 + D30+ D31)*0.5 +(D27 + D28) *0.75</f>
        <v>3.5</v>
      </c>
      <c r="E32">
        <f t="shared" si="6"/>
        <v>1.25</v>
      </c>
      <c r="F32">
        <f t="shared" si="6"/>
        <v>3.375</v>
      </c>
      <c r="G32">
        <f t="shared" si="6"/>
        <v>2.875</v>
      </c>
      <c r="H32">
        <f t="shared" si="6"/>
        <v>3.625</v>
      </c>
      <c r="I32">
        <f t="shared" si="6"/>
        <v>3.875</v>
      </c>
      <c r="J32">
        <f t="shared" si="6"/>
        <v>2</v>
      </c>
      <c r="K32">
        <f t="shared" si="6"/>
        <v>2</v>
      </c>
      <c r="L32">
        <f t="shared" si="6"/>
        <v>5.25</v>
      </c>
      <c r="M32">
        <f t="shared" si="6"/>
        <v>3.3125</v>
      </c>
      <c r="N32">
        <f t="shared" si="6"/>
        <v>4</v>
      </c>
      <c r="P32" t="s">
        <v>76</v>
      </c>
      <c r="U32" s="9" t="s">
        <v>21</v>
      </c>
    </row>
    <row r="33" spans="1:21" x14ac:dyDescent="0.2">
      <c r="A33" s="2" t="s">
        <v>214</v>
      </c>
      <c r="P33" t="s">
        <v>76</v>
      </c>
      <c r="T33">
        <v>0.5</v>
      </c>
      <c r="U33" t="s">
        <v>14</v>
      </c>
    </row>
    <row r="34" spans="1:21" x14ac:dyDescent="0.2">
      <c r="A34" t="s">
        <v>215</v>
      </c>
      <c r="B34">
        <v>1</v>
      </c>
      <c r="C34">
        <v>2</v>
      </c>
      <c r="D34">
        <v>2</v>
      </c>
      <c r="E34">
        <v>2</v>
      </c>
      <c r="F34">
        <v>2</v>
      </c>
      <c r="G34">
        <v>2</v>
      </c>
      <c r="H34">
        <v>2</v>
      </c>
      <c r="I34">
        <v>2</v>
      </c>
      <c r="J34">
        <v>1</v>
      </c>
      <c r="K34">
        <v>2</v>
      </c>
      <c r="L34">
        <v>2</v>
      </c>
      <c r="M34">
        <v>0.25</v>
      </c>
      <c r="N34">
        <v>2</v>
      </c>
      <c r="T34">
        <v>3</v>
      </c>
      <c r="U34" t="s">
        <v>34</v>
      </c>
    </row>
    <row r="35" spans="1:21" x14ac:dyDescent="0.2">
      <c r="A35" t="s">
        <v>216</v>
      </c>
      <c r="B35">
        <v>0.5</v>
      </c>
      <c r="C35">
        <v>2</v>
      </c>
      <c r="D35">
        <v>2</v>
      </c>
      <c r="E35">
        <v>2</v>
      </c>
      <c r="F35">
        <v>2</v>
      </c>
      <c r="G35">
        <v>2</v>
      </c>
      <c r="H35">
        <v>2</v>
      </c>
      <c r="I35">
        <v>2</v>
      </c>
      <c r="J35">
        <v>2</v>
      </c>
      <c r="K35">
        <v>2</v>
      </c>
      <c r="L35">
        <v>2</v>
      </c>
      <c r="M35">
        <v>0</v>
      </c>
      <c r="N35">
        <v>2</v>
      </c>
      <c r="P35" s="1"/>
      <c r="T35">
        <v>0.5</v>
      </c>
      <c r="U35" t="s">
        <v>15</v>
      </c>
    </row>
    <row r="36" spans="1:21" x14ac:dyDescent="0.2">
      <c r="A36" t="s">
        <v>217</v>
      </c>
      <c r="B36">
        <v>0.5</v>
      </c>
      <c r="C36">
        <v>0</v>
      </c>
      <c r="D36">
        <v>0</v>
      </c>
      <c r="E36">
        <v>1.5</v>
      </c>
      <c r="F36">
        <v>2</v>
      </c>
      <c r="G36">
        <v>0.5</v>
      </c>
      <c r="H36">
        <v>0.25</v>
      </c>
      <c r="I36">
        <v>2</v>
      </c>
      <c r="J36">
        <v>0</v>
      </c>
      <c r="K36">
        <v>0.75</v>
      </c>
      <c r="L36">
        <v>2</v>
      </c>
      <c r="M36">
        <v>0</v>
      </c>
      <c r="N36">
        <v>0</v>
      </c>
      <c r="T36">
        <f t="shared" ref="T36" si="7" xml:space="preserve"> SUM(T33:T35)</f>
        <v>4</v>
      </c>
    </row>
    <row r="37" spans="1:21" x14ac:dyDescent="0.2">
      <c r="A37" s="3"/>
      <c r="C37">
        <f xml:space="preserve"> C34 + (C35 + C36) * 0.5</f>
        <v>3</v>
      </c>
      <c r="D37">
        <f t="shared" ref="D37:N37" si="8" xml:space="preserve"> D34 + (D35 + D36) * 0.5</f>
        <v>3</v>
      </c>
      <c r="E37">
        <f t="shared" si="8"/>
        <v>3.75</v>
      </c>
      <c r="F37">
        <f t="shared" si="8"/>
        <v>4</v>
      </c>
      <c r="G37">
        <f t="shared" si="8"/>
        <v>3.25</v>
      </c>
      <c r="H37">
        <f t="shared" si="8"/>
        <v>3.125</v>
      </c>
      <c r="I37">
        <f t="shared" si="8"/>
        <v>4</v>
      </c>
      <c r="J37">
        <f t="shared" si="8"/>
        <v>2</v>
      </c>
      <c r="K37">
        <f t="shared" si="8"/>
        <v>3.375</v>
      </c>
      <c r="L37">
        <f t="shared" si="8"/>
        <v>4</v>
      </c>
      <c r="M37">
        <f t="shared" si="8"/>
        <v>0.25</v>
      </c>
      <c r="N37">
        <f t="shared" si="8"/>
        <v>3</v>
      </c>
      <c r="P37" s="7" t="s">
        <v>77</v>
      </c>
      <c r="U37" s="9" t="s">
        <v>19</v>
      </c>
    </row>
    <row r="38" spans="1:21" x14ac:dyDescent="0.2">
      <c r="A38" s="3"/>
      <c r="P38" s="7"/>
      <c r="U38" s="9"/>
    </row>
    <row r="39" spans="1:21" x14ac:dyDescent="0.2">
      <c r="B39">
        <f xml:space="preserve"> SUM(B5:B36)</f>
        <v>11</v>
      </c>
      <c r="C39">
        <f xml:space="preserve"> C16 + C21 + C25 + C32 +C37</f>
        <v>9.375</v>
      </c>
      <c r="D39">
        <f t="shared" ref="D39:N39" si="9" xml:space="preserve"> D16 + D21 + D25 + D32 +D37</f>
        <v>10.625</v>
      </c>
      <c r="E39">
        <f t="shared" si="9"/>
        <v>8.625</v>
      </c>
      <c r="F39">
        <f t="shared" si="9"/>
        <v>9.625</v>
      </c>
      <c r="G39">
        <f t="shared" si="9"/>
        <v>10.199999999999999</v>
      </c>
      <c r="H39">
        <f t="shared" si="9"/>
        <v>11.25</v>
      </c>
      <c r="I39">
        <f t="shared" si="9"/>
        <v>11.75</v>
      </c>
      <c r="J39">
        <f t="shared" si="9"/>
        <v>9.125</v>
      </c>
      <c r="K39">
        <f t="shared" si="9"/>
        <v>10.125</v>
      </c>
      <c r="L39">
        <f t="shared" si="9"/>
        <v>13.875</v>
      </c>
      <c r="M39">
        <f t="shared" si="9"/>
        <v>8.6875</v>
      </c>
      <c r="N39">
        <f t="shared" si="9"/>
        <v>11.875</v>
      </c>
      <c r="T39">
        <v>0.25</v>
      </c>
      <c r="U39" t="s">
        <v>18</v>
      </c>
    </row>
    <row r="40" spans="1:21" x14ac:dyDescent="0.2">
      <c r="P40" t="s">
        <v>96</v>
      </c>
      <c r="T40">
        <v>0.5</v>
      </c>
      <c r="U40" t="s">
        <v>16</v>
      </c>
    </row>
    <row r="41" spans="1:21" x14ac:dyDescent="0.2">
      <c r="C41">
        <f xml:space="preserve"> C39 + C7</f>
        <v>9.875</v>
      </c>
      <c r="D41">
        <f t="shared" ref="D41:N41" si="10" xml:space="preserve"> D39 + D7</f>
        <v>11.125</v>
      </c>
      <c r="E41">
        <f t="shared" si="10"/>
        <v>9.375</v>
      </c>
      <c r="F41">
        <f t="shared" si="10"/>
        <v>9.625</v>
      </c>
      <c r="G41">
        <f t="shared" si="10"/>
        <v>10.7</v>
      </c>
      <c r="H41">
        <f t="shared" si="10"/>
        <v>11.75</v>
      </c>
      <c r="I41">
        <f t="shared" si="10"/>
        <v>12.25</v>
      </c>
      <c r="J41">
        <f t="shared" si="10"/>
        <v>9.875</v>
      </c>
      <c r="K41">
        <f t="shared" si="10"/>
        <v>10.875</v>
      </c>
      <c r="L41">
        <f t="shared" si="10"/>
        <v>14.625</v>
      </c>
      <c r="M41">
        <f t="shared" si="10"/>
        <v>9.4375</v>
      </c>
      <c r="N41">
        <f t="shared" si="10"/>
        <v>12.375</v>
      </c>
      <c r="P41" t="s">
        <v>95</v>
      </c>
    </row>
    <row r="42" spans="1:21" x14ac:dyDescent="0.2">
      <c r="P42" t="s">
        <v>78</v>
      </c>
      <c r="T42">
        <v>0.25</v>
      </c>
      <c r="U42" t="s">
        <v>17</v>
      </c>
    </row>
    <row r="44" spans="1:21" x14ac:dyDescent="0.2">
      <c r="C44" s="8"/>
      <c r="D44" s="8"/>
      <c r="E44" s="8"/>
      <c r="F44" s="8"/>
      <c r="G44" s="8"/>
      <c r="H44" s="8"/>
      <c r="I44" s="8"/>
      <c r="J44" s="8"/>
      <c r="K44" s="8"/>
      <c r="L44" s="8"/>
      <c r="M44" s="8"/>
      <c r="N44" s="8"/>
      <c r="Q44" s="8"/>
      <c r="R44" s="8"/>
      <c r="S44" s="8"/>
      <c r="T44" s="8">
        <f t="shared" ref="T44" si="11" xml:space="preserve"> SUM(T39:T42)</f>
        <v>1</v>
      </c>
    </row>
    <row r="45" spans="1:21" x14ac:dyDescent="0.2">
      <c r="A45" s="9"/>
      <c r="P45" s="9" t="s">
        <v>79</v>
      </c>
      <c r="U45" s="9" t="s">
        <v>22</v>
      </c>
    </row>
    <row r="46" spans="1:21" x14ac:dyDescent="0.2">
      <c r="P46" t="s">
        <v>80</v>
      </c>
      <c r="T46">
        <v>0.25</v>
      </c>
      <c r="U46" t="s">
        <v>23</v>
      </c>
    </row>
    <row r="47" spans="1:21" x14ac:dyDescent="0.2">
      <c r="P47" t="s">
        <v>81</v>
      </c>
      <c r="T47">
        <v>0.25</v>
      </c>
      <c r="U47" t="s">
        <v>24</v>
      </c>
    </row>
    <row r="48" spans="1:21" x14ac:dyDescent="0.2">
      <c r="T48">
        <v>0.25</v>
      </c>
      <c r="U48" t="s">
        <v>25</v>
      </c>
    </row>
    <row r="50" spans="1:21" x14ac:dyDescent="0.2">
      <c r="P50" t="s">
        <v>97</v>
      </c>
      <c r="T50">
        <v>0.25</v>
      </c>
      <c r="U50" t="s">
        <v>26</v>
      </c>
    </row>
    <row r="51" spans="1:21" x14ac:dyDescent="0.2">
      <c r="P51" t="s">
        <v>98</v>
      </c>
      <c r="R51" s="8"/>
      <c r="S51" s="8"/>
      <c r="T51" s="8">
        <f t="shared" ref="T51" si="12" xml:space="preserve"> SUM(T46:T50)</f>
        <v>1</v>
      </c>
    </row>
    <row r="52" spans="1:21" x14ac:dyDescent="0.2">
      <c r="P52" t="s">
        <v>78</v>
      </c>
    </row>
    <row r="56" spans="1:21" x14ac:dyDescent="0.2">
      <c r="A56" s="5"/>
      <c r="P56" s="5"/>
      <c r="Q56" s="8"/>
      <c r="R56" s="8"/>
      <c r="S56" s="8"/>
    </row>
    <row r="57" spans="1:21" x14ac:dyDescent="0.2">
      <c r="C57" s="8"/>
      <c r="D57" s="8"/>
      <c r="E57" s="8"/>
      <c r="F57" s="8"/>
      <c r="G57" s="8"/>
      <c r="H57" s="8"/>
      <c r="I57" s="8"/>
      <c r="J57" s="8"/>
      <c r="K57" s="8"/>
      <c r="L57" s="8"/>
      <c r="M57" s="8"/>
      <c r="N57" s="8"/>
      <c r="Q57" s="8"/>
      <c r="R57" s="8"/>
      <c r="S57" s="8"/>
    </row>
    <row r="58" spans="1:21" x14ac:dyDescent="0.2">
      <c r="A58" s="9"/>
      <c r="C58" s="10"/>
      <c r="D58" s="10"/>
      <c r="E58" s="10"/>
      <c r="F58" s="10"/>
      <c r="G58" s="10"/>
      <c r="H58" s="10"/>
      <c r="I58" s="10"/>
      <c r="J58" s="10"/>
      <c r="K58" s="10"/>
      <c r="L58" s="10"/>
      <c r="M58" s="10"/>
      <c r="N58" s="10"/>
      <c r="P58" s="9" t="s">
        <v>82</v>
      </c>
      <c r="Q58" s="10"/>
      <c r="R58" s="10"/>
      <c r="S58" s="10"/>
      <c r="T58">
        <v>0.5</v>
      </c>
      <c r="U58" s="9" t="s">
        <v>27</v>
      </c>
    </row>
    <row r="59" spans="1:21" x14ac:dyDescent="0.2">
      <c r="P59" t="s">
        <v>83</v>
      </c>
    </row>
    <row r="60" spans="1:21" x14ac:dyDescent="0.2">
      <c r="A60" s="10"/>
      <c r="P60" s="10" t="s">
        <v>84</v>
      </c>
    </row>
    <row r="61" spans="1:21" x14ac:dyDescent="0.2">
      <c r="T61" s="5"/>
      <c r="U61" s="7" t="s">
        <v>7</v>
      </c>
    </row>
    <row r="62" spans="1:21" x14ac:dyDescent="0.2">
      <c r="A62" s="16"/>
      <c r="P62" s="16" t="s">
        <v>86</v>
      </c>
      <c r="U62" s="9" t="s">
        <v>33</v>
      </c>
    </row>
    <row r="63" spans="1:21" x14ac:dyDescent="0.2">
      <c r="A63" s="16"/>
      <c r="P63" s="16"/>
      <c r="U63" s="9"/>
    </row>
    <row r="64" spans="1:21" x14ac:dyDescent="0.2">
      <c r="P64" t="s">
        <v>85</v>
      </c>
      <c r="T64">
        <v>2</v>
      </c>
      <c r="U64" t="s">
        <v>31</v>
      </c>
    </row>
    <row r="65" spans="1:21" x14ac:dyDescent="0.2">
      <c r="T65">
        <v>2</v>
      </c>
      <c r="U65" t="s">
        <v>32</v>
      </c>
    </row>
    <row r="66" spans="1:21" x14ac:dyDescent="0.2">
      <c r="A66" s="3"/>
      <c r="P66" s="3"/>
      <c r="T66">
        <f t="shared" ref="T66" si="13" xml:space="preserve"> SUM(T64:T65)</f>
        <v>4</v>
      </c>
      <c r="U66" s="3"/>
    </row>
    <row r="67" spans="1:21" ht="34" x14ac:dyDescent="0.2">
      <c r="A67" s="9"/>
      <c r="C67" t="s">
        <v>41</v>
      </c>
      <c r="D67" t="s">
        <v>42</v>
      </c>
      <c r="E67" s="12" t="s">
        <v>43</v>
      </c>
      <c r="F67" t="s">
        <v>90</v>
      </c>
      <c r="G67" t="s">
        <v>44</v>
      </c>
      <c r="H67" t="s">
        <v>45</v>
      </c>
      <c r="I67" s="12" t="s">
        <v>46</v>
      </c>
      <c r="J67" t="s">
        <v>47</v>
      </c>
      <c r="K67" t="s">
        <v>48</v>
      </c>
      <c r="L67" t="s">
        <v>49</v>
      </c>
      <c r="M67" t="s">
        <v>50</v>
      </c>
      <c r="P67" s="9"/>
      <c r="U67" s="9" t="s">
        <v>35</v>
      </c>
    </row>
    <row r="68" spans="1:21" x14ac:dyDescent="0.2">
      <c r="T68">
        <v>1</v>
      </c>
      <c r="U68" t="s">
        <v>28</v>
      </c>
    </row>
    <row r="69" spans="1:21" x14ac:dyDescent="0.2">
      <c r="T69">
        <v>1</v>
      </c>
      <c r="U69" t="s">
        <v>29</v>
      </c>
    </row>
    <row r="70" spans="1:21" x14ac:dyDescent="0.2">
      <c r="T70">
        <v>1</v>
      </c>
      <c r="U70" t="s">
        <v>30</v>
      </c>
    </row>
    <row r="71" spans="1:21" x14ac:dyDescent="0.2">
      <c r="U71" t="s">
        <v>36</v>
      </c>
    </row>
    <row r="74" spans="1:21" x14ac:dyDescent="0.2">
      <c r="C74" s="8"/>
      <c r="D74" s="8"/>
      <c r="E74" s="8"/>
      <c r="F74" s="8"/>
      <c r="G74" s="8"/>
      <c r="H74" s="8"/>
      <c r="I74" s="8"/>
      <c r="J74" s="8"/>
      <c r="K74" s="8"/>
      <c r="L74" s="8"/>
      <c r="M74" s="8"/>
      <c r="N74" s="8"/>
      <c r="Q74" s="8"/>
      <c r="R74" s="8"/>
      <c r="S74" s="8"/>
    </row>
    <row r="75" spans="1:21" x14ac:dyDescent="0.2">
      <c r="A75" s="9"/>
      <c r="C75" s="10"/>
      <c r="D75" s="10"/>
      <c r="E75" s="10"/>
      <c r="F75" s="10"/>
      <c r="G75" s="10"/>
      <c r="H75" s="10"/>
      <c r="I75" s="10"/>
      <c r="J75" s="10"/>
      <c r="K75" s="10"/>
      <c r="L75" s="10"/>
      <c r="M75" s="10"/>
      <c r="N75" s="10"/>
      <c r="P75" s="9"/>
      <c r="Q75" s="10"/>
      <c r="R75" s="10"/>
      <c r="S75" s="10"/>
    </row>
    <row r="78" spans="1:21" x14ac:dyDescent="0.2">
      <c r="J78" s="10"/>
      <c r="K78" s="10"/>
      <c r="T78" s="11"/>
    </row>
    <row r="79" spans="1:21" x14ac:dyDescent="0.2">
      <c r="A79" s="14"/>
      <c r="B79" s="15"/>
      <c r="C79" s="14"/>
      <c r="D79" s="14"/>
      <c r="E79" s="14"/>
      <c r="F79" s="14"/>
      <c r="G79" s="14"/>
      <c r="H79" s="14"/>
      <c r="I79" s="14"/>
      <c r="J79" s="14"/>
      <c r="K79" s="14"/>
      <c r="L79" s="14"/>
      <c r="M79" s="14"/>
      <c r="N79" s="14"/>
      <c r="O79" s="15"/>
      <c r="P79" s="14"/>
      <c r="Q79" s="14"/>
      <c r="R79" s="14"/>
      <c r="S79" s="14"/>
      <c r="T79" s="11"/>
    </row>
  </sheetData>
  <conditionalFormatting sqref="B43:O43">
    <cfRule type="cellIs" dxfId="14" priority="13" operator="between">
      <formula>1.5</formula>
      <formula>3</formula>
    </cfRule>
    <cfRule type="cellIs" dxfId="13" priority="14" operator="lessThan">
      <formula>1.5</formula>
    </cfRule>
    <cfRule type="cellIs" dxfId="12" priority="15" operator="greaterThan">
      <formula>3</formula>
    </cfRule>
  </conditionalFormatting>
  <conditionalFormatting sqref="B48:O48 B53:O53">
    <cfRule type="cellIs" dxfId="11" priority="10" stopIfTrue="1" operator="between">
      <formula>0.75</formula>
      <formula>1.4</formula>
    </cfRule>
    <cfRule type="cellIs" dxfId="10" priority="11" operator="lessThan">
      <formula>0.75</formula>
    </cfRule>
    <cfRule type="cellIs" dxfId="9" priority="12" operator="greaterThan">
      <formula>1.49</formula>
    </cfRule>
  </conditionalFormatting>
  <conditionalFormatting sqref="B56:O56">
    <cfRule type="cellIs" dxfId="8" priority="7" operator="between">
      <formula>3</formula>
      <formula>5.5</formula>
    </cfRule>
    <cfRule type="cellIs" dxfId="7" priority="8" operator="lessThan">
      <formula xml:space="preserve"> 3</formula>
    </cfRule>
    <cfRule type="cellIs" dxfId="6" priority="9" stopIfTrue="1" operator="greaterThan">
      <formula>5.5</formula>
    </cfRule>
  </conditionalFormatting>
  <conditionalFormatting sqref="B60:O60">
    <cfRule type="cellIs" dxfId="5" priority="4" stopIfTrue="1" operator="between">
      <formula>0.75</formula>
      <formula>1.5</formula>
    </cfRule>
    <cfRule type="cellIs" dxfId="4" priority="5" operator="lessThan">
      <formula>0.75</formula>
    </cfRule>
    <cfRule type="cellIs" dxfId="3" priority="6" operator="greaterThan">
      <formula>1.5</formula>
    </cfRule>
  </conditionalFormatting>
  <conditionalFormatting sqref="B64:O64">
    <cfRule type="cellIs" dxfId="2" priority="1" operator="greaterThan">
      <formula>12.6</formula>
    </cfRule>
    <cfRule type="cellIs" dxfId="1" priority="2" operator="between">
      <formula>8.1</formula>
      <formula>12.5</formula>
    </cfRule>
    <cfRule type="cellIs" dxfId="0" priority="3" operator="lessThan">
      <formula>8</formula>
    </cfRule>
  </conditionalFormatting>
  <pageMargins left="0.7" right="0.7" top="0.75" bottom="0.75" header="0.3" footer="0.3"/>
  <pageSetup paperSize="9" scale="85"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A27FE-CC39-A74F-94CC-0051E04DE393}">
  <sheetPr>
    <pageSetUpPr fitToPage="1"/>
  </sheetPr>
  <dimension ref="A2:B67"/>
  <sheetViews>
    <sheetView zoomScale="106" zoomScaleNormal="179" workbookViewId="0">
      <selection activeCell="B41" sqref="B41"/>
    </sheetView>
  </sheetViews>
  <sheetFormatPr baseColWidth="10" defaultRowHeight="16" x14ac:dyDescent="0.2"/>
  <cols>
    <col min="1" max="1" width="15.83203125" customWidth="1"/>
    <col min="2" max="2" width="72.6640625" customWidth="1"/>
  </cols>
  <sheetData>
    <row r="2" spans="1:2" x14ac:dyDescent="0.2">
      <c r="A2" t="s">
        <v>0</v>
      </c>
      <c r="B2" t="s">
        <v>223</v>
      </c>
    </row>
    <row r="4" spans="1:2" x14ac:dyDescent="0.2">
      <c r="A4" s="1"/>
      <c r="B4" s="2" t="s">
        <v>3</v>
      </c>
    </row>
    <row r="5" spans="1:2" x14ac:dyDescent="0.2">
      <c r="A5">
        <v>1</v>
      </c>
      <c r="B5" t="s">
        <v>1</v>
      </c>
    </row>
    <row r="6" spans="1:2" x14ac:dyDescent="0.2">
      <c r="A6">
        <v>1</v>
      </c>
      <c r="B6" t="s">
        <v>5</v>
      </c>
    </row>
    <row r="9" spans="1:2" x14ac:dyDescent="0.2">
      <c r="A9" s="4"/>
      <c r="B9" s="6" t="s">
        <v>4</v>
      </c>
    </row>
    <row r="10" spans="1:2" x14ac:dyDescent="0.2">
      <c r="B10" s="9" t="s">
        <v>6</v>
      </c>
    </row>
    <row r="11" spans="1:2" x14ac:dyDescent="0.2">
      <c r="A11">
        <v>0.5</v>
      </c>
      <c r="B11" t="s">
        <v>8</v>
      </c>
    </row>
    <row r="12" spans="1:2" x14ac:dyDescent="0.2">
      <c r="A12">
        <v>2</v>
      </c>
      <c r="B12" t="s">
        <v>9</v>
      </c>
    </row>
    <row r="13" spans="1:2" x14ac:dyDescent="0.2">
      <c r="A13">
        <v>1.5</v>
      </c>
      <c r="B13" t="s">
        <v>10</v>
      </c>
    </row>
    <row r="14" spans="1:2" x14ac:dyDescent="0.2">
      <c r="A14">
        <f xml:space="preserve"> SUM(A11:A13)</f>
        <v>4</v>
      </c>
    </row>
    <row r="15" spans="1:2" x14ac:dyDescent="0.2">
      <c r="B15" s="9" t="s">
        <v>20</v>
      </c>
    </row>
    <row r="16" spans="1:2" x14ac:dyDescent="0.2">
      <c r="B16" s="9"/>
    </row>
    <row r="17" spans="1:2" x14ac:dyDescent="0.2">
      <c r="A17">
        <v>1</v>
      </c>
      <c r="B17" t="s">
        <v>11</v>
      </c>
    </row>
    <row r="20" spans="1:2" x14ac:dyDescent="0.2">
      <c r="A20">
        <v>1</v>
      </c>
      <c r="B20" t="s">
        <v>12</v>
      </c>
    </row>
    <row r="21" spans="1:2" x14ac:dyDescent="0.2">
      <c r="A21">
        <v>1</v>
      </c>
      <c r="B21" t="s">
        <v>13</v>
      </c>
    </row>
    <row r="23" spans="1:2" x14ac:dyDescent="0.2">
      <c r="A23">
        <f t="shared" ref="A23" si="0" xml:space="preserve"> SUM(A17:A21)</f>
        <v>3</v>
      </c>
    </row>
    <row r="25" spans="1:2" x14ac:dyDescent="0.2">
      <c r="B25" s="9" t="s">
        <v>21</v>
      </c>
    </row>
    <row r="26" spans="1:2" x14ac:dyDescent="0.2">
      <c r="A26">
        <v>0.5</v>
      </c>
      <c r="B26" t="s">
        <v>14</v>
      </c>
    </row>
    <row r="27" spans="1:2" x14ac:dyDescent="0.2">
      <c r="A27">
        <v>3</v>
      </c>
      <c r="B27" t="s">
        <v>34</v>
      </c>
    </row>
    <row r="28" spans="1:2" x14ac:dyDescent="0.2">
      <c r="A28">
        <v>0.5</v>
      </c>
      <c r="B28" t="s">
        <v>15</v>
      </c>
    </row>
    <row r="29" spans="1:2" x14ac:dyDescent="0.2">
      <c r="A29">
        <f t="shared" ref="A29" si="1" xml:space="preserve"> SUM(A26:A28)</f>
        <v>4</v>
      </c>
    </row>
    <row r="30" spans="1:2" x14ac:dyDescent="0.2">
      <c r="B30" s="9" t="s">
        <v>19</v>
      </c>
    </row>
    <row r="31" spans="1:2" x14ac:dyDescent="0.2">
      <c r="B31" s="9"/>
    </row>
    <row r="32" spans="1:2" x14ac:dyDescent="0.2">
      <c r="A32">
        <v>0.25</v>
      </c>
      <c r="B32" t="s">
        <v>18</v>
      </c>
    </row>
    <row r="33" spans="1:2" x14ac:dyDescent="0.2">
      <c r="A33">
        <v>0.5</v>
      </c>
      <c r="B33" t="s">
        <v>16</v>
      </c>
    </row>
    <row r="35" spans="1:2" x14ac:dyDescent="0.2">
      <c r="A35">
        <v>0.25</v>
      </c>
      <c r="B35" t="s">
        <v>17</v>
      </c>
    </row>
    <row r="37" spans="1:2" x14ac:dyDescent="0.2">
      <c r="A37" s="8">
        <f t="shared" ref="A37" si="2" xml:space="preserve"> SUM(A32:A35)</f>
        <v>1</v>
      </c>
    </row>
    <row r="38" spans="1:2" x14ac:dyDescent="0.2">
      <c r="B38" s="9" t="s">
        <v>22</v>
      </c>
    </row>
    <row r="39" spans="1:2" x14ac:dyDescent="0.2">
      <c r="A39">
        <v>0.25</v>
      </c>
      <c r="B39" t="s">
        <v>23</v>
      </c>
    </row>
    <row r="40" spans="1:2" x14ac:dyDescent="0.2">
      <c r="A40">
        <v>0.25</v>
      </c>
      <c r="B40" t="s">
        <v>24</v>
      </c>
    </row>
    <row r="41" spans="1:2" x14ac:dyDescent="0.2">
      <c r="A41">
        <v>0.25</v>
      </c>
      <c r="B41" t="s">
        <v>25</v>
      </c>
    </row>
    <row r="43" spans="1:2" x14ac:dyDescent="0.2">
      <c r="A43">
        <v>0.25</v>
      </c>
      <c r="B43" t="s">
        <v>224</v>
      </c>
    </row>
    <row r="44" spans="1:2" x14ac:dyDescent="0.2">
      <c r="A44" s="8">
        <f t="shared" ref="A44" si="3" xml:space="preserve"> SUM(A39:A43)</f>
        <v>1</v>
      </c>
    </row>
    <row r="46" spans="1:2" x14ac:dyDescent="0.2">
      <c r="A46">
        <v>0.5</v>
      </c>
      <c r="B46" s="9" t="s">
        <v>27</v>
      </c>
    </row>
    <row r="49" spans="1:2" x14ac:dyDescent="0.2">
      <c r="A49" s="5"/>
      <c r="B49" s="7" t="s">
        <v>7</v>
      </c>
    </row>
    <row r="50" spans="1:2" x14ac:dyDescent="0.2">
      <c r="B50" s="9" t="s">
        <v>33</v>
      </c>
    </row>
    <row r="51" spans="1:2" x14ac:dyDescent="0.2">
      <c r="B51" s="9"/>
    </row>
    <row r="52" spans="1:2" x14ac:dyDescent="0.2">
      <c r="A52">
        <v>2</v>
      </c>
      <c r="B52" t="s">
        <v>31</v>
      </c>
    </row>
    <row r="53" spans="1:2" x14ac:dyDescent="0.2">
      <c r="A53">
        <v>2</v>
      </c>
      <c r="B53" t="s">
        <v>32</v>
      </c>
    </row>
    <row r="54" spans="1:2" x14ac:dyDescent="0.2">
      <c r="A54">
        <f t="shared" ref="A54" si="4" xml:space="preserve"> SUM(A52:A53)</f>
        <v>4</v>
      </c>
      <c r="B54" s="3"/>
    </row>
    <row r="55" spans="1:2" x14ac:dyDescent="0.2">
      <c r="B55" s="9" t="s">
        <v>35</v>
      </c>
    </row>
    <row r="56" spans="1:2" x14ac:dyDescent="0.2">
      <c r="A56">
        <v>1</v>
      </c>
      <c r="B56" t="s">
        <v>28</v>
      </c>
    </row>
    <row r="57" spans="1:2" x14ac:dyDescent="0.2">
      <c r="A57">
        <v>1</v>
      </c>
      <c r="B57" t="s">
        <v>29</v>
      </c>
    </row>
    <row r="58" spans="1:2" x14ac:dyDescent="0.2">
      <c r="A58">
        <v>1</v>
      </c>
      <c r="B58" t="s">
        <v>30</v>
      </c>
    </row>
    <row r="59" spans="1:2" x14ac:dyDescent="0.2">
      <c r="B59" t="s">
        <v>36</v>
      </c>
    </row>
    <row r="66" spans="1:1" x14ac:dyDescent="0.2">
      <c r="A66" s="11"/>
    </row>
    <row r="67" spans="1:1" x14ac:dyDescent="0.2">
      <c r="A67" s="11"/>
    </row>
  </sheetData>
  <pageMargins left="0.7" right="0.7" top="0.75" bottom="0.75" header="0.3" footer="0.3"/>
  <pageSetup paperSize="9" scale="85"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EE03-4A84-7947-9EB5-C65EA3712D2D}">
  <dimension ref="A1:A66"/>
  <sheetViews>
    <sheetView topLeftCell="A16" workbookViewId="0">
      <selection activeCell="A9" sqref="A9"/>
    </sheetView>
  </sheetViews>
  <sheetFormatPr baseColWidth="10" defaultRowHeight="30" customHeight="1" x14ac:dyDescent="0.2"/>
  <cols>
    <col min="1" max="1" width="99.6640625" customWidth="1"/>
  </cols>
  <sheetData>
    <row r="1" spans="1:1" ht="30" customHeight="1" x14ac:dyDescent="0.2">
      <c r="A1" s="24" t="s">
        <v>137</v>
      </c>
    </row>
    <row r="3" spans="1:1" ht="30" customHeight="1" x14ac:dyDescent="0.2">
      <c r="A3" s="24" t="s">
        <v>138</v>
      </c>
    </row>
    <row r="4" spans="1:1" ht="30" customHeight="1" x14ac:dyDescent="0.2">
      <c r="A4" s="25" t="s">
        <v>139</v>
      </c>
    </row>
    <row r="5" spans="1:1" ht="30" customHeight="1" x14ac:dyDescent="0.2">
      <c r="A5" s="26" t="s">
        <v>140</v>
      </c>
    </row>
    <row r="6" spans="1:1" ht="30" customHeight="1" x14ac:dyDescent="0.2">
      <c r="A6" s="26" t="s">
        <v>141</v>
      </c>
    </row>
    <row r="7" spans="1:1" ht="30" customHeight="1" x14ac:dyDescent="0.2">
      <c r="A7" s="27"/>
    </row>
    <row r="8" spans="1:1" ht="30" customHeight="1" x14ac:dyDescent="0.2">
      <c r="A8" s="29" t="s">
        <v>142</v>
      </c>
    </row>
    <row r="9" spans="1:1" ht="30" customHeight="1" x14ac:dyDescent="0.2">
      <c r="A9" s="26" t="s">
        <v>143</v>
      </c>
    </row>
    <row r="10" spans="1:1" ht="30" customHeight="1" x14ac:dyDescent="0.2">
      <c r="A10" s="26" t="s">
        <v>144</v>
      </c>
    </row>
    <row r="11" spans="1:1" ht="30" customHeight="1" x14ac:dyDescent="0.2">
      <c r="A11" s="26" t="s">
        <v>145</v>
      </c>
    </row>
    <row r="12" spans="1:1" ht="30" customHeight="1" x14ac:dyDescent="0.2">
      <c r="A12" s="26" t="s">
        <v>146</v>
      </c>
    </row>
    <row r="13" spans="1:1" ht="30" customHeight="1" x14ac:dyDescent="0.2">
      <c r="A13" s="26" t="s">
        <v>147</v>
      </c>
    </row>
    <row r="14" spans="1:1" ht="30" customHeight="1" x14ac:dyDescent="0.2">
      <c r="A14" s="26" t="s">
        <v>148</v>
      </c>
    </row>
    <row r="15" spans="1:1" ht="30" customHeight="1" x14ac:dyDescent="0.2">
      <c r="A15" s="29" t="s">
        <v>149</v>
      </c>
    </row>
    <row r="16" spans="1:1" ht="30" customHeight="1" x14ac:dyDescent="0.2">
      <c r="A16" s="26" t="s">
        <v>150</v>
      </c>
    </row>
    <row r="17" spans="1:1" ht="30" customHeight="1" x14ac:dyDescent="0.2">
      <c r="A17" s="26" t="s">
        <v>151</v>
      </c>
    </row>
    <row r="18" spans="1:1" ht="30" customHeight="1" x14ac:dyDescent="0.2">
      <c r="A18" s="26" t="s">
        <v>152</v>
      </c>
    </row>
    <row r="19" spans="1:1" ht="30" customHeight="1" x14ac:dyDescent="0.2">
      <c r="A19" s="26" t="s">
        <v>153</v>
      </c>
    </row>
    <row r="20" spans="1:1" ht="30" customHeight="1" x14ac:dyDescent="0.2">
      <c r="A20" s="26" t="s">
        <v>154</v>
      </c>
    </row>
    <row r="21" spans="1:1" ht="30" customHeight="1" x14ac:dyDescent="0.2">
      <c r="A21" s="29" t="s">
        <v>155</v>
      </c>
    </row>
    <row r="22" spans="1:1" ht="30" customHeight="1" x14ac:dyDescent="0.2">
      <c r="A22" s="28" t="s">
        <v>156</v>
      </c>
    </row>
    <row r="23" spans="1:1" ht="30" customHeight="1" x14ac:dyDescent="0.2">
      <c r="A23" s="26" t="s">
        <v>157</v>
      </c>
    </row>
    <row r="24" spans="1:1" ht="30" customHeight="1" x14ac:dyDescent="0.2">
      <c r="A24" s="26" t="s">
        <v>158</v>
      </c>
    </row>
    <row r="25" spans="1:1" ht="30" customHeight="1" x14ac:dyDescent="0.2">
      <c r="A25" s="26" t="s">
        <v>159</v>
      </c>
    </row>
    <row r="26" spans="1:1" ht="30" customHeight="1" x14ac:dyDescent="0.2">
      <c r="A26" s="26" t="s">
        <v>160</v>
      </c>
    </row>
    <row r="27" spans="1:1" ht="30" customHeight="1" x14ac:dyDescent="0.2">
      <c r="A27" s="26" t="s">
        <v>161</v>
      </c>
    </row>
    <row r="28" spans="1:1" ht="30" customHeight="1" x14ac:dyDescent="0.2">
      <c r="A28" s="29" t="s">
        <v>162</v>
      </c>
    </row>
    <row r="29" spans="1:1" ht="30" customHeight="1" x14ac:dyDescent="0.2">
      <c r="A29" s="26" t="s">
        <v>163</v>
      </c>
    </row>
    <row r="30" spans="1:1" ht="30" customHeight="1" x14ac:dyDescent="0.2">
      <c r="A30" s="26" t="s">
        <v>164</v>
      </c>
    </row>
    <row r="31" spans="1:1" ht="30" customHeight="1" x14ac:dyDescent="0.2">
      <c r="A31" s="26" t="s">
        <v>165</v>
      </c>
    </row>
    <row r="32" spans="1:1" ht="30" customHeight="1" x14ac:dyDescent="0.2">
      <c r="A32" s="26" t="s">
        <v>166</v>
      </c>
    </row>
    <row r="33" spans="1:1" ht="30" customHeight="1" x14ac:dyDescent="0.2">
      <c r="A33" s="26" t="s">
        <v>161</v>
      </c>
    </row>
    <row r="34" spans="1:1" ht="30" customHeight="1" x14ac:dyDescent="0.2">
      <c r="A34" s="29" t="s">
        <v>167</v>
      </c>
    </row>
    <row r="35" spans="1:1" ht="30" customHeight="1" x14ac:dyDescent="0.2">
      <c r="A35" s="26" t="s">
        <v>168</v>
      </c>
    </row>
    <row r="36" spans="1:1" ht="30" customHeight="1" x14ac:dyDescent="0.2">
      <c r="A36" s="26" t="s">
        <v>169</v>
      </c>
    </row>
    <row r="37" spans="1:1" ht="30" customHeight="1" x14ac:dyDescent="0.2">
      <c r="A37" s="26" t="s">
        <v>170</v>
      </c>
    </row>
    <row r="38" spans="1:1" ht="30" customHeight="1" x14ac:dyDescent="0.2">
      <c r="A38" s="26" t="s">
        <v>171</v>
      </c>
    </row>
    <row r="39" spans="1:1" ht="30" customHeight="1" x14ac:dyDescent="0.2">
      <c r="A39" s="25"/>
    </row>
    <row r="40" spans="1:1" ht="30" customHeight="1" x14ac:dyDescent="0.2">
      <c r="A40" s="29" t="s">
        <v>172</v>
      </c>
    </row>
    <row r="41" spans="1:1" ht="30" customHeight="1" x14ac:dyDescent="0.2">
      <c r="A41" s="26" t="s">
        <v>173</v>
      </c>
    </row>
    <row r="42" spans="1:1" ht="30" customHeight="1" x14ac:dyDescent="0.2">
      <c r="A42" s="26" t="s">
        <v>174</v>
      </c>
    </row>
    <row r="43" spans="1:1" ht="30" customHeight="1" x14ac:dyDescent="0.2">
      <c r="A43" s="26" t="s">
        <v>175</v>
      </c>
    </row>
    <row r="44" spans="1:1" ht="30" customHeight="1" x14ac:dyDescent="0.2">
      <c r="A44" s="25"/>
    </row>
    <row r="45" spans="1:1" ht="30" customHeight="1" x14ac:dyDescent="0.2">
      <c r="A45" s="29" t="s">
        <v>176</v>
      </c>
    </row>
    <row r="46" spans="1:1" ht="30" customHeight="1" x14ac:dyDescent="0.2">
      <c r="A46" s="26" t="s">
        <v>177</v>
      </c>
    </row>
    <row r="47" spans="1:1" ht="30" customHeight="1" x14ac:dyDescent="0.2">
      <c r="A47" s="26" t="s">
        <v>178</v>
      </c>
    </row>
    <row r="48" spans="1:1" ht="30" customHeight="1" x14ac:dyDescent="0.2">
      <c r="A48" s="26" t="s">
        <v>179</v>
      </c>
    </row>
    <row r="49" spans="1:1" ht="30" customHeight="1" x14ac:dyDescent="0.2">
      <c r="A49" s="25"/>
    </row>
    <row r="50" spans="1:1" ht="30" customHeight="1" x14ac:dyDescent="0.2">
      <c r="A50" s="29" t="s">
        <v>180</v>
      </c>
    </row>
    <row r="51" spans="1:1" ht="30" customHeight="1" x14ac:dyDescent="0.2">
      <c r="A51" s="26" t="s">
        <v>181</v>
      </c>
    </row>
    <row r="52" spans="1:1" ht="30" customHeight="1" x14ac:dyDescent="0.2">
      <c r="A52" s="26" t="s">
        <v>182</v>
      </c>
    </row>
    <row r="53" spans="1:1" ht="30" customHeight="1" x14ac:dyDescent="0.2">
      <c r="A53" s="26" t="s">
        <v>183</v>
      </c>
    </row>
    <row r="54" spans="1:1" ht="30" customHeight="1" x14ac:dyDescent="0.2">
      <c r="A54" s="26" t="s">
        <v>184</v>
      </c>
    </row>
    <row r="55" spans="1:1" ht="30" customHeight="1" x14ac:dyDescent="0.2">
      <c r="A55" s="28"/>
    </row>
    <row r="56" spans="1:1" ht="30" customHeight="1" x14ac:dyDescent="0.2">
      <c r="A56" s="29" t="s">
        <v>185</v>
      </c>
    </row>
    <row r="57" spans="1:1" ht="30" customHeight="1" x14ac:dyDescent="0.2">
      <c r="A57" s="26" t="s">
        <v>186</v>
      </c>
    </row>
    <row r="58" spans="1:1" ht="30" customHeight="1" x14ac:dyDescent="0.2">
      <c r="A58" s="26" t="s">
        <v>187</v>
      </c>
    </row>
    <row r="59" spans="1:1" ht="30" customHeight="1" x14ac:dyDescent="0.2">
      <c r="A59" s="26" t="s">
        <v>188</v>
      </c>
    </row>
    <row r="60" spans="1:1" ht="30" customHeight="1" x14ac:dyDescent="0.2">
      <c r="A60" s="25"/>
    </row>
    <row r="61" spans="1:1" ht="30" customHeight="1" x14ac:dyDescent="0.2">
      <c r="A61" s="29" t="s">
        <v>189</v>
      </c>
    </row>
    <row r="62" spans="1:1" ht="30" customHeight="1" x14ac:dyDescent="0.2">
      <c r="A62" s="26" t="s">
        <v>190</v>
      </c>
    </row>
    <row r="63" spans="1:1" ht="30" customHeight="1" x14ac:dyDescent="0.2">
      <c r="A63" s="26" t="s">
        <v>191</v>
      </c>
    </row>
    <row r="64" spans="1:1" ht="30" customHeight="1" x14ac:dyDescent="0.2">
      <c r="A64" s="26" t="s">
        <v>192</v>
      </c>
    </row>
    <row r="65" spans="1:1" ht="30" customHeight="1" x14ac:dyDescent="0.2">
      <c r="A65" s="26" t="s">
        <v>193</v>
      </c>
    </row>
    <row r="66" spans="1:1" ht="30" customHeight="1" x14ac:dyDescent="0.2">
      <c r="A66" s="26" t="s">
        <v>194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6</vt:i4>
      </vt:variant>
      <vt:variant>
        <vt:lpstr>Plages nommées</vt:lpstr>
      </vt:variant>
      <vt:variant>
        <vt:i4>4</vt:i4>
      </vt:variant>
    </vt:vector>
  </HeadingPairs>
  <TitlesOfParts>
    <vt:vector size="10" baseType="lpstr">
      <vt:lpstr>COMPÉTENCES CC DOHM</vt:lpstr>
      <vt:lpstr>EVALUATION COMPETENCES TP</vt:lpstr>
      <vt:lpstr>COMPÉTENCES CC AC </vt:lpstr>
      <vt:lpstr>COMPÉTENCES CC DOHM </vt:lpstr>
      <vt:lpstr>COMPÉTENCES CC ALGO-PYTHON</vt:lpstr>
      <vt:lpstr>COMPÉTENCES PROJET INTÉGRATION</vt:lpstr>
      <vt:lpstr>'COMPÉTENCES CC AC '!Zone_d_impression</vt:lpstr>
      <vt:lpstr>'COMPÉTENCES CC DOHM'!Zone_d_impression</vt:lpstr>
      <vt:lpstr>'COMPÉTENCES CC DOHM '!Zone_d_impression</vt:lpstr>
      <vt:lpstr>'EVALUATION COMPETENCES TP'!Zone_d_impression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Isabelle FERRANE</dc:creator>
  <cp:lastModifiedBy>Isabelle FERRANE</cp:lastModifiedBy>
  <cp:lastPrinted>2025-12-18T08:19:59Z</cp:lastPrinted>
  <dcterms:created xsi:type="dcterms:W3CDTF">2025-11-12T08:45:50Z</dcterms:created>
  <dcterms:modified xsi:type="dcterms:W3CDTF">2026-09-21T12:36:55Z</dcterms:modified>
</cp:coreProperties>
</file>